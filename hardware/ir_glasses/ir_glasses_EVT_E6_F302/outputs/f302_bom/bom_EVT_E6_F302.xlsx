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caa54349c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库存" sheetId="1" r:id="R56565c4b179b4e27"/>
    <x:sheet xmlns:r="http://schemas.openxmlformats.org/officeDocument/2006/relationships" name="成本比较" sheetId="2" r:id="Rcb7707c7df7b4169"/>
    <x:sheet xmlns:r="http://schemas.openxmlformats.org/officeDocument/2006/relationships" name="说明" sheetId="3" r:id="R9377a3bd9992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00"/>
    <x:numFmt numFmtId="201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F4B"/>
      </x:patternFill>
    </x:fill>
    <x:fill>
      <x:patternFill patternType="solid">
        <x:fgColor rgb="FFDFEEF0"/>
      </x:patternFill>
    </x:fill>
    <x:fill>
      <x:patternFill patternType="solid">
        <x:fgColor rgb="FFFFE4B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81859f82b4611" /><Relationship Type="http://schemas.openxmlformats.org/officeDocument/2006/relationships/theme" Target="/xl/theme/theme1.xml" Id="R871bdeefc2a64992" /><Relationship Type="http://schemas.openxmlformats.org/officeDocument/2006/relationships/sharedStrings" Target="/xl/sharedStrings.xml" Id="R50808ead3b794967" /><Relationship Type="http://schemas.openxmlformats.org/officeDocument/2006/relationships/worksheet" Target="/xl/worksheets/sheet1.xml" Id="R56565c4b179b4e27" /><Relationship Type="http://schemas.openxmlformats.org/officeDocument/2006/relationships/worksheet" Target="/xl/worksheets/sheet2.xml" Id="Rcb7707c7df7b4169" /><Relationship Type="http://schemas.openxmlformats.org/officeDocument/2006/relationships/worksheet" Target="/xl/worksheets/sheet3.xml" Id="R9377a3bd99924b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4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0" hidden="0" customWidth="1"/>
    <x:col min="9" max="9" width="30" hidden="0" customWidth="1"/>
    <x:col min="10" max="10" width="64" hidden="0" customWidth="1"/>
  </x:cols>
  <x:sheetData>
    <x:row r="1" ht="34" customHeight="1">
      <x:c r="A1" s="2" t="str">
        <x:v>EVT E6 F302 R2 | 155 fitted parts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2" customHeight="1">
      <x:c r="A3" s="5" t="str">
        <x:v>立创料号</x:v>
      </x:c>
      <x:c r="B3" s="5" t="str">
        <x:v>制造商型号</x:v>
      </x:c>
      <x:c r="C3" s="5" t="str">
        <x:v>位号</x:v>
      </x:c>
      <x:c r="D3" s="5" t="str">
        <x:v>每板数量</x:v>
      </x:c>
      <x:c r="E3" s="5" t="str">
        <x:v>查询库存</x:v>
      </x:c>
      <x:c r="F3" s="5" t="str">
        <x:v>10板缺口</x:v>
      </x:c>
      <x:c r="G3" s="5" t="str">
        <x:v>10板单价 USD</x:v>
      </x:c>
      <x:c r="H3" s="5" t="str">
        <x:v>查询时间 UTC</x:v>
      </x:c>
      <x:c r="I3" s="5" t="str">
        <x:v>来源</x:v>
      </x:c>
      <x:c r="J3" s="5" t="str">
        <x:v>简要参数说明</x:v>
      </x:c>
    </x:row>
    <x:row r="4" ht="40" customHeight="1">
      <x:c r="A4" s="8" t="str">
        <x:v>C106232</x:v>
      </x:c>
      <x:c r="B4" s="8" t="str">
        <x:v>RC0402FR-07100RL</x:v>
      </x:c>
      <x:c r="C4" s="8" t="str">
        <x:v>R11, R12, R14</x:v>
      </x:c>
      <x:c r="D4" s="8" t="n">
        <x:v>3</x:v>
      </x:c>
      <x:c r="E4" s="8" t="n">
        <x:v>4409400</x:v>
      </x:c>
      <x:c r="F4" s="8" t="n">
        <x:v>0</x:v>
      </x:c>
      <x:c r="G4" s="9" t="n">
        <x:v>0.0033</x:v>
      </x:c>
      <x:c r="H4" s="15" t="n">
        <x:v>46283.39257271991</x:v>
      </x:c>
      <x:c r="I4" s="8" t="str">
        <x:v>https://www.lcsc.com/product-detail/C106232.html</x:v>
      </x:c>
      <x:c r="J4" s="8" t="str">
        <x:v>厚膜电阻，100Ω，±1%，62.5mW；0402</x:v>
      </x:c>
    </x:row>
    <x:row r="5" ht="40" customHeight="1">
      <x:c r="A5" s="8" t="str">
        <x:v>C123302</x:v>
      </x:c>
      <x:c r="B5" s="8" t="str">
        <x:v>SN74LVC1G123DCTR</x:v>
      </x:c>
      <x:c r="C5" s="8" t="str">
        <x:v>U12</x:v>
      </x:c>
      <x:c r="D5" s="8" t="n">
        <x:v>1</x:v>
      </x:c>
      <x:c r="E5" s="8" t="n">
        <x:v>7823</x:v>
      </x:c>
      <x:c r="F5" s="8" t="n">
        <x:v>0</x:v>
      </x:c>
      <x:c r="G5" s="9" t="n">
        <x:v>0.6586</x:v>
      </x:c>
      <x:c r="H5" s="15" t="n">
        <x:v>46283.39257273148</x:v>
      </x:c>
      <x:c r="I5" s="8" t="str">
        <x:v>https://www.lcsc.com/product-detail/C123302.html</x:v>
      </x:c>
      <x:c r="J5" s="8" t="str">
        <x:v>单路可重触发单稳态，施密特输入；用于LED硬件限时关断；SSOP-8</x:v>
      </x:c>
    </x:row>
    <x:row r="6" ht="40" customHeight="1">
      <x:c r="A6" s="8" t="str">
        <x:v>C125094</x:v>
      </x:c>
      <x:c r="B6" s="8" t="str">
        <x:v>LTST-C190KGKT</x:v>
      </x:c>
      <x:c r="C6" s="8" t="str">
        <x:v>D20</x:v>
      </x:c>
      <x:c r="D6" s="8" t="n">
        <x:v>1</x:v>
      </x:c>
      <x:c r="E6" s="8" t="n">
        <x:v>241100</x:v>
      </x:c>
      <x:c r="F6" s="8" t="n">
        <x:v>0</x:v>
      </x:c>
      <x:c r="G6" s="9" t="n">
        <x:v>0.0173</x:v>
      </x:c>
      <x:c r="H6" s="15" t="n">
        <x:v>46283.39257273148</x:v>
      </x:c>
      <x:c r="I6" s="8" t="str">
        <x:v>https://www.lcsc.com/product-detail/C125094.html</x:v>
      </x:c>
      <x:c r="J6" s="8" t="str">
        <x:v>黄绿色状态指示LED，峰值574nm；0603</x:v>
      </x:c>
    </x:row>
    <x:row r="7" ht="40" customHeight="1">
      <x:c r="A7" s="8" t="str">
        <x:v>C138719</x:v>
      </x:c>
      <x:c r="B7" s="8" t="str">
        <x:v>TPS2553DRVR</x:v>
      </x:c>
      <x:c r="C7" s="8" t="str">
        <x:v>U18</x:v>
      </x:c>
      <x:c r="D7" s="8" t="n">
        <x:v>1</x:v>
      </x:c>
      <x:c r="E7" s="8" t="n">
        <x:v>29387</x:v>
      </x:c>
      <x:c r="F7" s="8" t="n">
        <x:v>0</x:v>
      </x:c>
      <x:c r="G7" s="9" t="n">
        <x:v>0.4884</x:v>
      </x:c>
      <x:c r="H7" s="15" t="n">
        <x:v>46283.39257273148</x:v>
      </x:c>
      <x:c r="I7" s="8" t="str">
        <x:v>https://www.lcsc.com/product-detail/C138719.html</x:v>
      </x:c>
      <x:c r="J7" s="8" t="str">
        <x:v>可调限流高侧电源开关，2.5～6.5V，高电平使能；WSON-6，带底部焊盘</x:v>
      </x:c>
    </x:row>
    <x:row r="8" ht="40" customHeight="1">
      <x:c r="A8" s="8" t="str">
        <x:v>C15195</x:v>
      </x:c>
      <x:c r="B8" s="8" t="str">
        <x:v>CL05B103KB5NNNC</x:v>
      </x:c>
      <x:c r="C8" s="8" t="str">
        <x:v>C11</x:v>
      </x:c>
      <x:c r="D8" s="8" t="n">
        <x:v>1</x:v>
      </x:c>
      <x:c r="E8" s="8" t="n">
        <x:v>2385200</x:v>
      </x:c>
      <x:c r="F8" s="8" t="n">
        <x:v>0</x:v>
      </x:c>
      <x:c r="G8" s="9" t="n">
        <x:v>0.0051</x:v>
      </x:c>
      <x:c r="H8" s="15" t="n">
        <x:v>46283.392593055556</x:v>
      </x:c>
      <x:c r="I8" s="8" t="str">
        <x:v>https://www.lcsc.com/product-detail/C15195.html</x:v>
      </x:c>
      <x:c r="J8" s="8" t="str">
        <x:v>电容，10nF，±10%，50V，X7R；0402</x:v>
      </x:c>
    </x:row>
    <x:row r="9" ht="40" customHeight="1">
      <x:c r="A9" s="8" t="str">
        <x:v>C1525</x:v>
      </x:c>
      <x:c r="B9" s="8" t="str">
        <x:v>CL05B104KO5NNNC</x:v>
      </x:c>
      <x:c r="C9" s="8" t="str">
        <x:v>C10, C12, C13, C14, C15, C16, C17, C2, C3, C31, C32, C35, C36, C4, C44, C45, C48, C49, C5, C6, C7, C8, C9</x:v>
      </x:c>
      <x:c r="D9" s="8" t="n">
        <x:v>23</x:v>
      </x:c>
      <x:c r="E9" s="8" t="n">
        <x:v>8667200</x:v>
      </x:c>
      <x:c r="F9" s="8" t="n">
        <x:v>0</x:v>
      </x:c>
      <x:c r="G9" s="9" t="n">
        <x:v>0.0046</x:v>
      </x:c>
      <x:c r="H9" s="15" t="n">
        <x:v>46283.39259568287</x:v>
      </x:c>
      <x:c r="I9" s="8" t="str">
        <x:v>https://www.lcsc.com/product-detail/C1525.html</x:v>
      </x:c>
      <x:c r="J9" s="8" t="str">
        <x:v>电容，100nF，±10%，16V，X7R；0402</x:v>
      </x:c>
    </x:row>
    <x:row r="10" ht="40" customHeight="1">
      <x:c r="A10" s="8" t="str">
        <x:v>C1555</x:v>
      </x:c>
      <x:c r="B10" s="8" t="str">
        <x:v>0402CG220J500NT</x:v>
      </x:c>
      <x:c r="C10" s="8" t="str">
        <x:v>CF1, CF10, CF11, CF12, CF13, CF14, CF15, CF16, CF2, CF3, CF4, CF5, CF6, CF7, CF8, CF9</x:v>
      </x:c>
      <x:c r="D10" s="8" t="n">
        <x:v>16</x:v>
      </x:c>
      <x:c r="E10" s="8" t="n">
        <x:v>1046600</x:v>
      </x:c>
      <x:c r="F10" s="8" t="n">
        <x:v>0</x:v>
      </x:c>
      <x:c r="G10" s="9" t="n">
        <x:v>0.0043</x:v>
      </x:c>
      <x:c r="H10" s="15" t="n">
        <x:v>46283.392601747684</x:v>
      </x:c>
      <x:c r="I10" s="8" t="str">
        <x:v>https://www.lcsc.com/product-detail/C1555.html</x:v>
      </x:c>
      <x:c r="J10" s="8" t="str">
        <x:v>电容，22pF，±5%，50V，C0G；0402</x:v>
      </x:c>
    </x:row>
    <x:row r="11" ht="40" customHeight="1">
      <x:c r="A11" s="8" t="str">
        <x:v>C19224</x:v>
      </x:c>
      <x:c r="B11" s="8" t="str">
        <x:v>PESD5V0S1BA,115</x:v>
      </x:c>
      <x:c r="C11" s="8" t="str">
        <x:v>D17</x:v>
      </x:c>
      <x:c r="D11" s="8" t="n">
        <x:v>1</x:v>
      </x:c>
      <x:c r="E11" s="8" t="n">
        <x:v>26400</x:v>
      </x:c>
      <x:c r="F11" s="8" t="n">
        <x:v>0</x:v>
      </x:c>
      <x:c r="G11" s="9" t="n">
        <x:v>0.0866</x:v>
      </x:c>
      <x:c r="H11" s="15" t="n">
        <x:v>46283.39261256944</x:v>
      </x:c>
      <x:c r="I11" s="8" t="str">
        <x:v>https://www.lcsc.com/product-detail/C19224.html</x:v>
      </x:c>
      <x:c r="J11" s="8" t="str">
        <x:v>单路双向ESD保护，反向截止电压5V；SOD-323</x:v>
      </x:c>
    </x:row>
    <x:row r="12" ht="40" customHeight="1">
      <x:c r="A12" s="8" t="str">
        <x:v>C19269752</x:v>
      </x:c>
      <x:c r="B12" s="8" t="str">
        <x:v>IR11-21C/TR8</x:v>
      </x:c>
      <x:c r="C12" s="8" t="str">
        <x:v>D1, D10, D11, D12, D13, D14, D15, D16, D2, D3, D4, D5, D6, D7, D8, D9</x:v>
      </x:c>
      <x:c r="D12" s="8" t="n">
        <x:v>16</x:v>
      </x:c>
      <x:c r="E12" s="8" t="n">
        <x:v>12590</x:v>
      </x:c>
      <x:c r="F12" s="8" t="n">
        <x:v>0</x:v>
      </x:c>
      <x:c r="G12" s="9" t="n">
        <x:v>0.0358</x:v>
      </x:c>
      <x:c r="H12" s="15" t="n">
        <x:v>46283.39261545139</x:v>
      </x:c>
      <x:c r="I12" s="8" t="str">
        <x:v>https://www.lcsc.com/product-detail/C19269752.html</x:v>
      </x:c>
      <x:c r="J12" s="8" t="str">
        <x:v>940nm红外LED，视角100°；1206</x:v>
      </x:c>
    </x:row>
    <x:row r="13" ht="40" customHeight="1">
      <x:c r="A13" s="8" t="str">
        <x:v>C19330</x:v>
      </x:c>
      <x:c r="B13" s="8" t="str">
        <x:v>BLM18AG601SN1D</x:v>
      </x:c>
      <x:c r="C13" s="8" t="str">
        <x:v>FB1</x:v>
      </x:c>
      <x:c r="D13" s="8" t="n">
        <x:v>1</x:v>
      </x:c>
      <x:c r="E13" s="8" t="n">
        <x:v>684650</x:v>
      </x:c>
      <x:c r="F13" s="8" t="n">
        <x:v>0</x:v>
      </x:c>
      <x:c r="G13" s="9" t="n">
        <x:v>0.0133</x:v>
      </x:c>
      <x:c r="H13" s="15" t="n">
        <x:v>46283.39262380787</x:v>
      </x:c>
      <x:c r="I13" s="8" t="str">
        <x:v>https://www.lcsc.com/product-detail/C19330.html</x:v>
      </x:c>
      <x:c r="J13" s="8" t="str">
        <x:v>磁珠，600Ω@100MHz，额定500mA；0603</x:v>
      </x:c>
    </x:row>
    <x:row r="14" ht="40" customHeight="1">
      <x:c r="A14" s="8" t="str">
        <x:v>C19702</x:v>
      </x:c>
      <x:c r="B14" s="8" t="str">
        <x:v>CL10A106KP8NNNC</x:v>
      </x:c>
      <x:c r="C14" s="8" t="str">
        <x:v>C25, C26, C27, C40</x:v>
      </x:c>
      <x:c r="D14" s="8" t="n">
        <x:v>4</x:v>
      </x:c>
      <x:c r="E14" s="8" t="n">
        <x:v>5781700</x:v>
      </x:c>
      <x:c r="F14" s="8" t="n">
        <x:v>0</x:v>
      </x:c>
      <x:c r="G14" s="9" t="n">
        <x:v>0.0322</x:v>
      </x:c>
      <x:c r="H14" s="15" t="n">
        <x:v>46283.3926259838</x:v>
      </x:c>
      <x:c r="I14" s="8" t="str">
        <x:v>https://www.lcsc.com/product-detail/C19702.html</x:v>
      </x:c>
      <x:c r="J14" s="8" t="str">
        <x:v>电容，10uF，±10%，10V，X5R；0603</x:v>
      </x:c>
    </x:row>
    <x:row r="15" ht="40" customHeight="1">
      <x:c r="A15" s="8" t="str">
        <x:v>C2068031</x:v>
      </x:c>
      <x:c r="B15" s="8" t="str">
        <x:v>TPS3702CX33DDCR</x:v>
      </x:c>
      <x:c r="C15" s="8" t="str">
        <x:v>U19</x:v>
      </x:c>
      <x:c r="D15" s="8" t="n">
        <x:v>1</x:v>
      </x:c>
      <x:c r="E15" s="8" t="n">
        <x:v>4874</x:v>
      </x:c>
      <x:c r="F15" s="8" t="n">
        <x:v>0</x:v>
      </x:c>
      <x:c r="G15" s="9" t="n">
        <x:v>1.5756</x:v>
      </x:c>
      <x:c r="H15" s="15" t="n">
        <x:v>46283.392632118055</x:v>
      </x:c>
      <x:c r="I15" s="8" t="str">
        <x:v>https://www.lcsc.com/product-detail/C2068031.html</x:v>
      </x:c>
      <x:c r="J15" s="8" t="str">
        <x:v>3.3V电源窗口监控器，开漏输出；TSOT-23-6</x:v>
      </x:c>
    </x:row>
    <x:row r="16" ht="40" customHeight="1">
      <x:c r="A16" s="8" t="str">
        <x:v>C2443469</x:v>
      </x:c>
      <x:c r="B16" s="8" t="str">
        <x:v>PESD3V3U1UB,115</x:v>
      </x:c>
      <x:c r="C16" s="8" t="str">
        <x:v>D18, D19</x:v>
      </x:c>
      <x:c r="D16" s="8" t="n">
        <x:v>2</x:v>
      </x:c>
      <x:c r="E16" s="8" t="n">
        <x:v>51580</x:v>
      </x:c>
      <x:c r="F16" s="8" t="n">
        <x:v>0</x:v>
      </x:c>
      <x:c r="G16" s="9" t="n">
        <x:v>0.0441</x:v>
      </x:c>
      <x:c r="H16" s="15" t="n">
        <x:v>46283.39263462963</x:v>
      </x:c>
      <x:c r="I16" s="8" t="str">
        <x:v>https://www.lcsc.com/product-detail/C2443469.html</x:v>
      </x:c>
      <x:c r="J16" s="8" t="str">
        <x:v>单路单向ESD保护，反向截止电压3.3V；SOD-523</x:v>
      </x:c>
    </x:row>
    <x:row r="17" ht="40" customHeight="1">
      <x:c r="A17" s="8" t="str">
        <x:v>C25087</x:v>
      </x:c>
      <x:c r="B17" s="8" t="str">
        <x:v>0402WGF2000TCE</x:v>
      </x:c>
      <x:c r="C17" s="8" t="str">
        <x:v>R18</x:v>
      </x:c>
      <x:c r="D17" s="8" t="n">
        <x:v>1</x:v>
      </x:c>
      <x:c r="E17" s="8" t="n">
        <x:v>2477400</x:v>
      </x:c>
      <x:c r="F17" s="8" t="n">
        <x:v>0</x:v>
      </x:c>
      <x:c r="G17" s="9" t="n">
        <x:v>0.0029</x:v>
      </x:c>
      <x:c r="H17" s="15" t="n">
        <x:v>46283.39264351852</x:v>
      </x:c>
      <x:c r="I17" s="8" t="str">
        <x:v>https://www.lcsc.com/product-detail/C25087.html</x:v>
      </x:c>
      <x:c r="J17" s="8" t="str">
        <x:v>厚膜电阻，200Ω，±1%，62.5mW；0402</x:v>
      </x:c>
    </x:row>
    <x:row r="18" ht="40" customHeight="1">
      <x:c r="A18" s="8" t="str">
        <x:v>C25092</x:v>
      </x:c>
      <x:c r="B18" s="8" t="str">
        <x:v>0402WGF220JTCE</x:v>
      </x:c>
      <x:c r="C18" s="8" t="str">
        <x:v>R8, R9</x:v>
      </x:c>
      <x:c r="D18" s="8" t="n">
        <x:v>2</x:v>
      </x:c>
      <x:c r="E18" s="8" t="n">
        <x:v>3391100</x:v>
      </x:c>
      <x:c r="F18" s="8" t="n">
        <x:v>0</x:v>
      </x:c>
      <x:c r="G18" s="9" t="n">
        <x:v>0.0029</x:v>
      </x:c>
      <x:c r="H18" s="15" t="n">
        <x:v>46283.39264605324</x:v>
      </x:c>
      <x:c r="I18" s="8" t="str">
        <x:v>https://www.lcsc.com/product-detail/C25092.html</x:v>
      </x:c>
      <x:c r="J18" s="8" t="str">
        <x:v>厚膜电阻，22Ω，±1%，62.5mW；0402</x:v>
      </x:c>
    </x:row>
    <x:row r="19" ht="40" customHeight="1">
      <x:c r="A19" s="8" t="str">
        <x:v>C25118</x:v>
      </x:c>
      <x:c r="B19" s="8" t="str">
        <x:v>0402WGF470JTCE</x:v>
      </x:c>
      <x:c r="C19" s="8" t="str">
        <x:v>R13</x:v>
      </x:c>
      <x:c r="D19" s="8" t="n">
        <x:v>1</x:v>
      </x:c>
      <x:c r="E19" s="8" t="n">
        <x:v>298300</x:v>
      </x:c>
      <x:c r="F19" s="8" t="n">
        <x:v>0</x:v>
      </x:c>
      <x:c r="G19" s="9" t="n">
        <x:v>0.0037</x:v>
      </x:c>
      <x:c r="H19" s="15" t="n">
        <x:v>46283.39265199074</x:v>
      </x:c>
      <x:c r="I19" s="8" t="str">
        <x:v>https://www.lcsc.com/product-detail/C25118.html</x:v>
      </x:c>
      <x:c r="J19" s="8" t="str">
        <x:v>厚膜电阻，47Ω，±1%，62.5mW；0402</x:v>
      </x:c>
    </x:row>
    <x:row r="20" ht="40" customHeight="1">
      <x:c r="A20" s="8" t="str">
        <x:v>C25741</x:v>
      </x:c>
      <x:c r="B20" s="8" t="str">
        <x:v>0402WGF1003TCE</x:v>
      </x:c>
      <x:c r="C20" s="8" t="str">
        <x:v>R15, R5, RF1, RF10, RF11, RF12, RF13, RF14, RF15, RF16, RF2, RF3, RF4, RF5, RF6, RF7, RF8, RF9</x:v>
      </x:c>
      <x:c r="D20" s="8" t="n">
        <x:v>18</x:v>
      </x:c>
      <x:c r="E20" s="8" t="n">
        <x:v>6516000</x:v>
      </x:c>
      <x:c r="F20" s="8" t="n">
        <x:v>0</x:v>
      </x:c>
      <x:c r="G20" s="9" t="n">
        <x:v>0.0025</x:v>
      </x:c>
      <x:c r="H20" s="15" t="n">
        <x:v>46283.39265388889</x:v>
      </x:c>
      <x:c r="I20" s="8" t="str">
        <x:v>https://www.lcsc.com/product-detail/C25741.html</x:v>
      </x:c>
      <x:c r="J20" s="8" t="str">
        <x:v>厚膜电阻，100kΩ，±1%，62.5mW；0402</x:v>
      </x:c>
    </x:row>
    <x:row r="21" ht="40" customHeight="1">
      <x:c r="A21" s="8" t="str">
        <x:v>C25744</x:v>
      </x:c>
      <x:c r="B21" s="8" t="str">
        <x:v>0402WGF1002TCE</x:v>
      </x:c>
      <x:c r="C21" s="8" t="str">
        <x:v>R10, R16, R19, R2, R27, R28, R3, R4</x:v>
      </x:c>
      <x:c r="D21" s="8" t="n">
        <x:v>8</x:v>
      </x:c>
      <x:c r="E21" s="8" t="n">
        <x:v>14158300</x:v>
      </x:c>
      <x:c r="F21" s="8" t="n">
        <x:v>0</x:v>
      </x:c>
      <x:c r="G21" s="9" t="n">
        <x:v>0.0031</x:v>
      </x:c>
      <x:c r="H21" s="15" t="n">
        <x:v>46283.392665520834</x:v>
      </x:c>
      <x:c r="I21" s="8" t="str">
        <x:v>https://www.lcsc.com/product-detail/C25744.html</x:v>
      </x:c>
      <x:c r="J21" s="8" t="str">
        <x:v>厚膜电阻，10kΩ，±1%，62.5mW；0402</x:v>
      </x:c>
    </x:row>
    <x:row r="22" ht="40" customHeight="1">
      <x:c r="A22" s="8" t="str">
        <x:v>C25745</x:v>
      </x:c>
      <x:c r="B22" s="8" t="str">
        <x:v>0402WGF1103TCE</x:v>
      </x:c>
      <x:c r="C22" s="8" t="str">
        <x:v>R29</x:v>
      </x:c>
      <x:c r="D22" s="8" t="n">
        <x:v>1</x:v>
      </x:c>
      <x:c r="E22" s="8" t="n">
        <x:v>165300</x:v>
      </x:c>
      <x:c r="F22" s="8" t="n">
        <x:v>0</x:v>
      </x:c>
      <x:c r="G22" s="9" t="n">
        <x:v>0.0022</x:v>
      </x:c>
      <x:c r="H22" s="15" t="n">
        <x:v>46283.392665844905</x:v>
      </x:c>
      <x:c r="I22" s="8" t="str">
        <x:v>https://www.lcsc.com/product-detail/C25745.html</x:v>
      </x:c>
      <x:c r="J22" s="8" t="str">
        <x:v>厚膜电阻，110kΩ，±1%，62.5mW；0402</x:v>
      </x:c>
    </x:row>
    <x:row r="23" ht="40" customHeight="1">
      <x:c r="A23" s="8" t="str">
        <x:v>C25900</x:v>
      </x:c>
      <x:c r="B23" s="8" t="str">
        <x:v>0402WGF4701TCE</x:v>
      </x:c>
      <x:c r="C23" s="8" t="str">
        <x:v>R17, R6, R7</x:v>
      </x:c>
      <x:c r="D23" s="8" t="n">
        <x:v>3</x:v>
      </x:c>
      <x:c r="E23" s="8" t="n">
        <x:v>12779500</x:v>
      </x:c>
      <x:c r="F23" s="8" t="n">
        <x:v>0</x:v>
      </x:c>
      <x:c r="G23" s="9" t="n">
        <x:v>0.0027</x:v>
      </x:c>
      <x:c r="H23" s="15" t="n">
        <x:v>46283.392670775465</x:v>
      </x:c>
      <x:c r="I23" s="8" t="str">
        <x:v>https://www.lcsc.com/product-detail/C25900.html</x:v>
      </x:c>
      <x:c r="J23" s="8" t="str">
        <x:v>厚膜电阻，4.7kΩ，±1%，62.5mW；0402</x:v>
      </x:c>
    </x:row>
    <x:row r="24" ht="40" customHeight="1">
      <x:c r="A24" s="8" t="str">
        <x:v>C25915</x:v>
      </x:c>
      <x:c r="B24" s="8" t="str">
        <x:v>0402WGF6201TCE</x:v>
      </x:c>
      <x:c r="C24" s="8" t="str">
        <x:v>R20</x:v>
      </x:c>
      <x:c r="D24" s="8" t="n">
        <x:v>1</x:v>
      </x:c>
      <x:c r="E24" s="8" t="n">
        <x:v>139000</x:v>
      </x:c>
      <x:c r="F24" s="8" t="n">
        <x:v>0</x:v>
      </x:c>
      <x:c r="G24" s="9" t="n">
        <x:v>0.0032</x:v>
      </x:c>
      <x:c r="H24" s="15" t="n">
        <x:v>46283.39267342593</x:v>
      </x:c>
      <x:c r="I24" s="8" t="str">
        <x:v>https://www.lcsc.com/product-detail/C25915.html</x:v>
      </x:c>
      <x:c r="J24" s="8" t="str">
        <x:v>厚膜电阻，6.2kΩ，±1%，62.5mW；0402</x:v>
      </x:c>
    </x:row>
    <x:row r="25" ht="40" customHeight="1">
      <x:c r="A25" s="8" t="str">
        <x:v>C262946</x:v>
      </x:c>
      <x:c r="B25" s="8" t="str">
        <x:v>STM32F302CCT6</x:v>
      </x:c>
      <x:c r="C25" s="8" t="str">
        <x:v>U9</x:v>
      </x:c>
      <x:c r="D25" s="8" t="n">
        <x:v>1</x:v>
      </x:c>
      <x:c r="E25" s="11" t="n">
        <x:v>4</x:v>
      </x:c>
      <x:c r="F25" s="11" t="n">
        <x:v>6</x:v>
      </x:c>
      <x:c r="G25" s="9" t="n">
        <x:v>4.0856</x:v>
      </x:c>
      <x:c r="H25" s="15" t="n">
        <x:v>46283.39268478009</x:v>
      </x:c>
      <x:c r="I25" s="8" t="str">
        <x:v>https://www.lcsc.com/product-detail/C262946.html</x:v>
      </x:c>
      <x:c r="J25" s="8" t="str">
        <x:v>32位 Cortex-M4 MCU，256KB Flash，最高72MHz，双12位ADC；LQFP-48</x:v>
      </x:c>
    </x:row>
    <x:row r="26" ht="40" customHeight="1">
      <x:c r="A26" s="8" t="str">
        <x:v>C284464</x:v>
      </x:c>
      <x:c r="B26" s="8" t="str">
        <x:v>ARG02FTC2671</x:v>
      </x:c>
      <x:c r="C26" s="8" t="str">
        <x:v>R1</x:v>
      </x:c>
      <x:c r="D26" s="8" t="n">
        <x:v>1</x:v>
      </x:c>
      <x:c r="E26" s="8" t="n">
        <x:v>400</x:v>
      </x:c>
      <x:c r="F26" s="8" t="n">
        <x:v>0</x:v>
      </x:c>
      <x:c r="G26" s="9" t="n">
        <x:v>0.0073</x:v>
      </x:c>
      <x:c r="H26" s="15" t="n">
        <x:v>46283.392685162034</x:v>
      </x:c>
      <x:c r="I26" s="8" t="str">
        <x:v>https://www.lcsc.com/product-detail/C284464.html</x:v>
      </x:c>
      <x:c r="J26" s="8" t="str">
        <x:v>薄膜电阻，2.67kΩ，±1%，62.5mW；0402</x:v>
      </x:c>
    </x:row>
    <x:row r="27" ht="40" customHeight="1">
      <x:c r="A27" s="8" t="str">
        <x:v>C2921391</x:v>
      </x:c>
      <x:c r="B27" s="8" t="str">
        <x:v>PD15-21B/TR8</x:v>
      </x:c>
      <x:c r="C27" s="8" t="str">
        <x:v>PD1, PD10, PD11, PD12, PD13, PD14, PD15, PD16, PD2, PD3, PD4, PD5, PD6, PD7, PD8, PD9</x:v>
      </x:c>
      <x:c r="D27" s="8" t="n">
        <x:v>16</x:v>
      </x:c>
      <x:c r="E27" s="8" t="n">
        <x:v>11360</x:v>
      </x:c>
      <x:c r="F27" s="8" t="n">
        <x:v>0</x:v>
      </x:c>
      <x:c r="G27" s="9" t="n">
        <x:v>0.0541</x:v>
      </x:c>
      <x:c r="H27" s="15" t="n">
        <x:v>46283.39268946759</x:v>
      </x:c>
      <x:c r="I27" s="8" t="str">
        <x:v>https://www.lcsc.com/product-detail/C2921391.html</x:v>
      </x:c>
      <x:c r="J27" s="8" t="str">
        <x:v>红外光电二极管，响应波段730～1100nm；1206</x:v>
      </x:c>
    </x:row>
    <x:row r="28" ht="40" customHeight="1">
      <x:c r="A28" s="8" t="str">
        <x:v>C307335</x:v>
      </x:c>
      <x:c r="B28" s="8" t="str">
        <x:v>CL05B223KB5VPNC</x:v>
      </x:c>
      <x:c r="C28" s="8" t="str">
        <x:v>C38</x:v>
      </x:c>
      <x:c r="D28" s="8" t="n">
        <x:v>1</x:v>
      </x:c>
      <x:c r="E28" s="8" t="n">
        <x:v>22900</x:v>
      </x:c>
      <x:c r="F28" s="8" t="n">
        <x:v>0</x:v>
      </x:c>
      <x:c r="G28" s="9" t="n">
        <x:v>0.0141</x:v>
      </x:c>
      <x:c r="H28" s="15" t="n">
        <x:v>46283.392692835645</x:v>
      </x:c>
      <x:c r="I28" s="8" t="str">
        <x:v>https://www.lcsc.com/product-detail/C307335.html</x:v>
      </x:c>
      <x:c r="J28" s="8" t="str">
        <x:v>电容，22nF，±10%，50V，X7R；0402</x:v>
      </x:c>
    </x:row>
    <x:row r="29" ht="40" customHeight="1">
      <x:c r="A29" s="8" t="str">
        <x:v>C3662799</x:v>
      </x:c>
      <x:c r="B29" s="8" t="str">
        <x:v>TPS259470ARPWR</x:v>
      </x:c>
      <x:c r="C29" s="8" t="str">
        <x:v>U14</x:v>
      </x:c>
      <x:c r="D29" s="8" t="n">
        <x:v>1</x:v>
      </x:c>
      <x:c r="E29" s="8" t="n">
        <x:v>3631</x:v>
      </x:c>
      <x:c r="F29" s="8" t="n">
        <x:v>0</x:v>
      </x:c>
      <x:c r="G29" s="9" t="n">
        <x:v>1.1065</x:v>
      </x:c>
      <x:c r="H29" s="15" t="n">
        <x:v>46283.392704212965</x:v>
      </x:c>
      <x:c r="I29" s="8" t="str">
        <x:v>https://www.lcsc.com/product-detail/C3662799.html</x:v>
      </x:c>
      <x:c r="J29" s="8" t="str">
        <x:v>电子保险丝，工作电压2.7～23V，可调限流；2×2mm QFN-10</x:v>
      </x:c>
    </x:row>
    <x:row r="30" ht="40" customHeight="1">
      <x:c r="A30" s="8" t="str">
        <x:v>C398356</x:v>
      </x:c>
      <x:c r="B30" s="8" t="str">
        <x:v>TLV9062IDGKR</x:v>
      </x:c>
      <x:c r="C30" s="8" t="str">
        <x:v>U16</x:v>
      </x:c>
      <x:c r="D30" s="8" t="n">
        <x:v>1</x:v>
      </x:c>
      <x:c r="E30" s="8" t="n">
        <x:v>34120</x:v>
      </x:c>
      <x:c r="F30" s="8" t="n">
        <x:v>0</x:v>
      </x:c>
      <x:c r="G30" s="9" t="n">
        <x:v>0.2005</x:v>
      </x:c>
      <x:c r="H30" s="15" t="n">
        <x:v>46283.39270438658</x:v>
      </x:c>
      <x:c r="I30" s="8" t="str">
        <x:v>https://www.lcsc.com/product-detail/C398356.html</x:v>
      </x:c>
      <x:c r="J30" s="8" t="str">
        <x:v>双路轨到轨输入/输出运放，1.8～5.5V，10MHz增益带宽；VSSOP-8</x:v>
      </x:c>
    </x:row>
    <x:row r="31" ht="40" customHeight="1">
      <x:c r="A31" s="8" t="str">
        <x:v>C398358</x:v>
      </x:c>
      <x:c r="B31" s="8" t="str">
        <x:v>TLV9061IDBVR</x:v>
      </x:c>
      <x:c r="C31" s="8" t="str">
        <x:v>U6</x:v>
      </x:c>
      <x:c r="D31" s="8" t="n">
        <x:v>1</x:v>
      </x:c>
      <x:c r="E31" s="8" t="n">
        <x:v>298225</x:v>
      </x:c>
      <x:c r="F31" s="8" t="n">
        <x:v>0</x:v>
      </x:c>
      <x:c r="G31" s="9" t="n">
        <x:v>0.0944</x:v>
      </x:c>
      <x:c r="H31" s="15" t="n">
        <x:v>46283.39271040509</x:v>
      </x:c>
      <x:c r="I31" s="8" t="str">
        <x:v>https://www.lcsc.com/product-detail/C398358.html</x:v>
      </x:c>
      <x:c r="J31" s="8" t="str">
        <x:v>单路轨到轨输入/输出运放，1.8～5.5V，10MHz增益带宽；SOT-23-5</x:v>
      </x:c>
    </x:row>
    <x:row r="32" ht="40" customHeight="1">
      <x:c r="A32" s="8" t="str">
        <x:v>C485815</x:v>
      </x:c>
      <x:c r="B32" s="8" t="str">
        <x:v>TLC59283RGER</x:v>
      </x:c>
      <x:c r="C32" s="8" t="str">
        <x:v>U1</x:v>
      </x:c>
      <x:c r="D32" s="8" t="n">
        <x:v>1</x:v>
      </x:c>
      <x:c r="E32" s="8" t="n">
        <x:v>2682</x:v>
      </x:c>
      <x:c r="F32" s="8" t="n">
        <x:v>0</x:v>
      </x:c>
      <x:c r="G32" s="9" t="n">
        <x:v>0.5958</x:v>
      </x:c>
      <x:c r="H32" s="15" t="n">
        <x:v>46283.39271303241</x:v>
      </x:c>
      <x:c r="I32" s="8" t="str">
        <x:v>https://www.lcsc.com/product-detail/C485815.html</x:v>
      </x:c>
      <x:c r="J32" s="8" t="str">
        <x:v>16路恒流LED驱动器，串行移位接口，供电3～5.5V；VQFN-24，带底部焊盘</x:v>
      </x:c>
    </x:row>
    <x:row r="33" ht="40" customHeight="1">
      <x:c r="A33" s="8" t="str">
        <x:v>C49210445</x:v>
      </x:c>
      <x:c r="B33" s="8" t="str">
        <x:v>TCC0402X7R105K160AT</x:v>
      </x:c>
      <x:c r="C33" s="8" t="str">
        <x:v>C1, C18, C19, C20, C21, C22, C23, C24, C37, C46, C47</x:v>
      </x:c>
      <x:c r="D33" s="8" t="n">
        <x:v>11</x:v>
      </x:c>
      <x:c r="E33" s="8" t="n">
        <x:v>5450</x:v>
      </x:c>
      <x:c r="F33" s="8" t="n">
        <x:v>0</x:v>
      </x:c>
      <x:c r="G33" s="9" t="n">
        <x:v>0.013</x:v>
      </x:c>
      <x:c r="H33" s="15" t="n">
        <x:v>46283.392723703706</x:v>
      </x:c>
      <x:c r="I33" s="8" t="str">
        <x:v>https://www.lcsc.com/product-detail/C49210445.html</x:v>
      </x:c>
      <x:c r="J33" s="8" t="str">
        <x:v>电容，1uF，±10%，16V，X7R；0402</x:v>
      </x:c>
    </x:row>
    <x:row r="34" ht="40" customHeight="1">
      <x:c r="A34" s="8" t="str">
        <x:v>C51901197</x:v>
      </x:c>
      <x:c r="B34" s="8" t="str">
        <x:v>0.5K-AS-5PWB-RW</x:v>
      </x:c>
      <x:c r="C34" s="8" t="str">
        <x:v>J1</x:v>
      </x:c>
      <x:c r="D34" s="8" t="n">
        <x:v>1</x:v>
      </x:c>
      <x:c r="E34" s="8" t="n">
        <x:v>2750</x:v>
      </x:c>
      <x:c r="F34" s="8" t="n">
        <x:v>0</x:v>
      </x:c>
      <x:c r="G34" s="9" t="n">
        <x:v>0.0735</x:v>
      </x:c>
      <x:c r="H34" s="15" t="n">
        <x:v>46283.392724537036</x:v>
      </x:c>
      <x:c r="I34" s="8" t="str">
        <x:v>https://www.lcsc.com/product-detail/C51901197.html</x:v>
      </x:c>
      <x:c r="J34" s="8" t="str">
        <x:v>5P FPC连接器，0.5mm间距，上接触，卧贴，适配0.3mm排线</x:v>
      </x:c>
    </x:row>
    <x:row r="35" ht="40" customHeight="1">
      <x:c r="A35" s="8" t="str">
        <x:v>C53547</x:v>
      </x:c>
      <x:c r="B35" s="8" t="str">
        <x:v>0402CG102J500NT</x:v>
      </x:c>
      <x:c r="C35" s="8" t="str">
        <x:v>C33, C34</x:v>
      </x:c>
      <x:c r="D35" s="8" t="n">
        <x:v>2</x:v>
      </x:c>
      <x:c r="E35" s="8" t="n">
        <x:v>256650</x:v>
      </x:c>
      <x:c r="F35" s="8" t="n">
        <x:v>0</x:v>
      </x:c>
      <x:c r="G35" s="9" t="n">
        <x:v>0.0089</x:v>
      </x:c>
      <x:c r="H35" s="15" t="n">
        <x:v>46283.39273002315</x:v>
      </x:c>
      <x:c r="I35" s="8" t="str">
        <x:v>https://www.lcsc.com/product-detail/C53547.html</x:v>
      </x:c>
      <x:c r="J35" s="8" t="str">
        <x:v>电容，1nF，±5%，50V，C0G；0402</x:v>
      </x:c>
    </x:row>
    <x:row r="36" ht="40" customHeight="1">
      <x:c r="A36" s="8" t="str">
        <x:v>C55440</x:v>
      </x:c>
      <x:c r="B36" s="8" t="str">
        <x:v>PESD3V3L2BT,215</x:v>
      </x:c>
      <x:c r="C36" s="8" t="str">
        <x:v>U11</x:v>
      </x:c>
      <x:c r="D36" s="8" t="n">
        <x:v>1</x:v>
      </x:c>
      <x:c r="E36" s="8" t="n">
        <x:v>106115</x:v>
      </x:c>
      <x:c r="F36" s="8" t="n">
        <x:v>0</x:v>
      </x:c>
      <x:c r="G36" s="9" t="n">
        <x:v>0.079</x:v>
      </x:c>
      <x:c r="H36" s="15" t="n">
        <x:v>46283.392744097226</x:v>
      </x:c>
      <x:c r="I36" s="8" t="str">
        <x:v>https://www.lcsc.com/product-detail/C55440.html</x:v>
      </x:c>
      <x:c r="J36" s="8" t="str">
        <x:v>双路双向ESD保护，反向截止电压3.3V；SOT-23</x:v>
      </x:c>
    </x:row>
    <x:row r="37" ht="40" customHeight="1">
      <x:c r="A37" s="8" t="str">
        <x:v>C596320</x:v>
      </x:c>
      <x:c r="B37" s="8" t="str">
        <x:v>CC1210KKX5R7BB476</x:v>
      </x:c>
      <x:c r="C37" s="8" t="str">
        <x:v>C28</x:v>
      </x:c>
      <x:c r="D37" s="8" t="n">
        <x:v>1</x:v>
      </x:c>
      <x:c r="E37" s="8" t="n">
        <x:v>2499</x:v>
      </x:c>
      <x:c r="F37" s="8" t="n">
        <x:v>0</x:v>
      </x:c>
      <x:c r="G37" s="9" t="n">
        <x:v>1.0639</x:v>
      </x:c>
      <x:c r="H37" s="15" t="n">
        <x:v>46283.39274982639</x:v>
      </x:c>
      <x:c r="I37" s="8" t="str">
        <x:v>https://www.lcsc.com/product-detail/C596320.html</x:v>
      </x:c>
      <x:c r="J37" s="8" t="str">
        <x:v>电容，47uF，±10%，16V，X5R；1210</x:v>
      </x:c>
    </x:row>
    <x:row r="38" ht="40" customHeight="1">
      <x:c r="A38" s="8" t="str">
        <x:v>C76965</x:v>
      </x:c>
      <x:c r="B38" s="8" t="str">
        <x:v>GRM1555C1H331JA01D</x:v>
      </x:c>
      <x:c r="C38" s="8" t="str">
        <x:v>C29, C30</x:v>
      </x:c>
      <x:c r="D38" s="8" t="n">
        <x:v>2</x:v>
      </x:c>
      <x:c r="E38" s="8" t="n">
        <x:v>68026</x:v>
      </x:c>
      <x:c r="F38" s="8" t="n">
        <x:v>0</x:v>
      </x:c>
      <x:c r="G38" s="9" t="n">
        <x:v>0.0095</x:v>
      </x:c>
      <x:c r="H38" s="15" t="n">
        <x:v>46283.392763020835</x:v>
      </x:c>
      <x:c r="I38" s="8" t="str">
        <x:v>https://www.lcsc.com/product-detail/C76965.html</x:v>
      </x:c>
      <x:c r="J38" s="8" t="str">
        <x:v>电容，330pF，±5%，50V，C0G；0402</x:v>
      </x:c>
    </x:row>
    <x:row r="39" ht="40" customHeight="1">
      <x:c r="A39" s="8" t="str">
        <x:v>C779410</x:v>
      </x:c>
      <x:c r="B39" s="8" t="str">
        <x:v>TLV9064IPWR</x:v>
      </x:c>
      <x:c r="C39" s="8" t="str">
        <x:v>U2, U3, U4, U5</x:v>
      </x:c>
      <x:c r="D39" s="8" t="n">
        <x:v>4</x:v>
      </x:c>
      <x:c r="E39" s="8" t="n">
        <x:v>4235</x:v>
      </x:c>
      <x:c r="F39" s="8" t="n">
        <x:v>0</x:v>
      </x:c>
      <x:c r="G39" s="9" t="n">
        <x:v>0.3927</x:v>
      </x:c>
      <x:c r="H39" s="15" t="n">
        <x:v>46283.392769108796</x:v>
      </x:c>
      <x:c r="I39" s="8" t="str">
        <x:v>https://www.lcsc.com/product-detail/C779410.html</x:v>
      </x:c>
      <x:c r="J39" s="8" t="str">
        <x:v>四路轨到轨输入/输出运放，1.8～5.5V，10MHz增益带宽；TSSOP-14</x:v>
      </x:c>
    </x:row>
    <x:row r="40" ht="40" customHeight="1">
      <x:c r="A40" s="8" t="str">
        <x:v>C7827</x:v>
      </x:c>
      <x:c r="B40" s="8" t="str">
        <x:v>SN74LVC1G04DBVR</x:v>
      </x:c>
      <x:c r="C40" s="8" t="str">
        <x:v>U13</x:v>
      </x:c>
      <x:c r="D40" s="8" t="n">
        <x:v>1</x:v>
      </x:c>
      <x:c r="E40" s="8" t="n">
        <x:v>148115</x:v>
      </x:c>
      <x:c r="F40" s="8" t="n">
        <x:v>0</x:v>
      </x:c>
      <x:c r="G40" s="9" t="n">
        <x:v>0.082</x:v>
      </x:c>
      <x:c r="H40" s="15" t="n">
        <x:v>46283.39276940972</x:v>
      </x:c>
      <x:c r="I40" s="8" t="str">
        <x:v>https://www.lcsc.com/product-detail/C7827.html</x:v>
      </x:c>
      <x:c r="J40" s="8" t="str">
        <x:v>单路逻辑反相器，1.65～5.5V；SOT-23-5</x:v>
      </x:c>
    </x:row>
    <x:row r="41" ht="40" customHeight="1">
      <x:c r="A41" s="8" t="str">
        <x:v>C967633</x:v>
      </x:c>
      <x:c r="B41" s="8" t="str">
        <x:v>LSM6DS3TR-C</x:v>
      </x:c>
      <x:c r="C41" s="8" t="str">
        <x:v>U10</x:v>
      </x:c>
      <x:c r="D41" s="8" t="n">
        <x:v>1</x:v>
      </x:c>
      <x:c r="E41" s="8" t="n">
        <x:v>21422</x:v>
      </x:c>
      <x:c r="F41" s="8" t="n">
        <x:v>0</x:v>
      </x:c>
      <x:c r="G41" s="9" t="n">
        <x:v>1.3303</x:v>
      </x:c>
      <x:c r="H41" s="15" t="n">
        <x:v>46283.392770625</x:v>
      </x:c>
      <x:c r="I41" s="8" t="str">
        <x:v>https://www.lcsc.com/product-detail/C967633.html</x:v>
      </x:c>
      <x:c r="J41" s="8" t="str">
        <x:v>六轴IMU（三轴加速度计＋三轴陀螺仪），数字接口；LGA-14</x:v>
      </x:c>
    </x:row>
    <x:row r="42" ht="40" customHeight="1">
      <x:c r="A42" s="8" t="str">
        <x:v>C970231</x:v>
      </x:c>
      <x:c r="B42" s="8" t="str">
        <x:v>TMUX1308PWR</x:v>
      </x:c>
      <x:c r="C42" s="8" t="str">
        <x:v>U7, U8</x:v>
      </x:c>
      <x:c r="D42" s="8" t="n">
        <x:v>2</x:v>
      </x:c>
      <x:c r="E42" s="8" t="n">
        <x:v>11070</x:v>
      </x:c>
      <x:c r="F42" s="8" t="n">
        <x:v>0</x:v>
      </x:c>
      <x:c r="G42" s="9" t="n">
        <x:v>0.1879</x:v>
      </x:c>
      <x:c r="H42" s="15" t="n">
        <x:v>46283.39278155092</x:v>
      </x:c>
      <x:c r="I42" s="8" t="str">
        <x:v>https://www.lcsc.com/product-detail/C970231.html</x:v>
      </x:c>
      <x:c r="J42" s="8" t="str">
        <x:v>单路8选1模拟开关，独立地址选择，1.62～5.5V；TSSOP-16</x:v>
      </x:c>
    </x:row>
    <x:row r="43">
      <x:c r="G43" s="10"/>
      <x:c r="H43" s="16"/>
    </x:row>
    <x:row r="44">
      <x:c r="G44" s="10"/>
      <x:c r="H44" s="16"/>
    </x:row>
    <x:row r="45">
      <x:c r="G45" s="10"/>
      <x:c r="H45" s="16"/>
    </x:row>
    <x:row r="46">
      <x:c r="G46" s="10"/>
      <x:c r="H46" s="16"/>
    </x:row>
    <x:row r="47">
      <x:c r="G47" s="10"/>
      <x:c r="H47" s="16"/>
    </x:row>
    <x:row r="48">
      <x:c r="G48" s="10"/>
      <x:c r="H48" s="16"/>
    </x:row>
    <x:row r="49">
      <x:c r="G49" s="10"/>
      <x:c r="H49" s="16"/>
    </x:row>
    <x:row r="50">
      <x:c r="G50" s="10"/>
      <x:c r="H50" s="16"/>
    </x:row>
    <x:row r="51">
      <x:c r="G51" s="10"/>
      <x:c r="H51" s="16"/>
    </x:row>
    <x:row r="52">
      <x:c r="G52" s="10"/>
      <x:c r="H52" s="16"/>
    </x:row>
    <x:row r="53">
      <x:c r="G53" s="10"/>
      <x:c r="H53" s="16"/>
    </x:row>
    <x:row r="54">
      <x:c r="G54" s="10"/>
      <x:c r="H54" s="16"/>
    </x:row>
    <x:row r="55">
      <x:c r="G55" s="10"/>
      <x:c r="H55" s="16"/>
    </x:row>
    <x:row r="56">
      <x:c r="G56" s="10"/>
      <x:c r="H56" s="16"/>
    </x:row>
    <x:row r="57">
      <x:c r="G57" s="10"/>
      <x:c r="H57" s="16"/>
    </x:row>
    <x:row r="58">
      <x:c r="G58" s="10"/>
      <x:c r="H58" s="16"/>
    </x:row>
    <x:row r="59">
      <x:c r="G59" s="10"/>
      <x:c r="H59" s="16"/>
    </x:row>
    <x:row r="60">
      <x:c r="G60" s="10"/>
      <x:c r="H60" s="16"/>
    </x:row>
    <x:row r="61">
      <x:c r="G61" s="10"/>
      <x:c r="H61" s="16"/>
    </x:row>
    <x:row r="62">
      <x:c r="G62" s="10"/>
      <x:c r="H62" s="16"/>
    </x:row>
    <x:row r="63">
      <x:c r="G63" s="10"/>
      <x:c r="H63" s="16"/>
    </x:row>
    <x:row r="64">
      <x:c r="G64" s="10"/>
      <x:c r="H64" s="16"/>
    </x:row>
    <x:row r="65">
      <x:c r="G65" s="10"/>
      <x:c r="H65" s="16"/>
    </x:row>
    <x:row r="66">
      <x:c r="G66" s="10"/>
      <x:c r="H66" s="16"/>
    </x:row>
    <x:row r="67">
      <x:c r="G67" s="10"/>
      <x:c r="H67" s="16"/>
    </x:row>
    <x:row r="68">
      <x:c r="G68" s="10"/>
      <x:c r="H68" s="16"/>
    </x:row>
    <x:row r="69">
      <x:c r="G69" s="10"/>
      <x:c r="H69" s="16"/>
    </x:row>
    <x:row r="70">
      <x:c r="G70" s="10"/>
      <x:c r="H70" s="16"/>
    </x:row>
    <x:row r="71">
      <x:c r="G71" s="10"/>
      <x:c r="H71" s="16"/>
    </x:row>
    <x:row r="72">
      <x:c r="G72" s="10"/>
      <x:c r="H72" s="16"/>
    </x:row>
    <x:row r="73">
      <x:c r="G73" s="10"/>
      <x:c r="H73" s="16"/>
    </x:row>
    <x:row r="74">
      <x:c r="G74" s="10"/>
      <x:c r="H74" s="16"/>
    </x:row>
    <x:row r="75">
      <x:c r="G75" s="10"/>
      <x:c r="H75" s="16"/>
    </x:row>
    <x:row r="76">
      <x:c r="G76" s="10"/>
      <x:c r="H76" s="16"/>
    </x:row>
    <x:row r="77">
      <x:c r="G77" s="10"/>
      <x:c r="H77" s="16"/>
    </x:row>
    <x:row r="78">
      <x:c r="G78" s="10"/>
      <x:c r="H78" s="16"/>
    </x:row>
    <x:row r="79">
      <x:c r="G79" s="10"/>
      <x:c r="H79" s="16"/>
    </x:row>
    <x:row r="80">
      <x:c r="G80" s="10"/>
      <x:c r="H80" s="16"/>
    </x:row>
    <x:row r="81">
      <x:c r="G81" s="10"/>
      <x:c r="H81" s="16"/>
    </x:row>
    <x:row r="82">
      <x:c r="G82" s="10"/>
      <x:c r="H82" s="16"/>
    </x:row>
    <x:row r="83">
      <x:c r="G83" s="10"/>
      <x:c r="H83" s="16"/>
    </x:row>
    <x:row r="84">
      <x:c r="G84" s="10"/>
      <x:c r="H84" s="16"/>
    </x:row>
    <x:row r="85">
      <x:c r="G85" s="10"/>
      <x:c r="H85" s="16"/>
    </x:row>
    <x:row r="86">
      <x:c r="G86" s="10"/>
      <x:c r="H86" s="16"/>
    </x:row>
    <x:row r="87">
      <x:c r="G87" s="10"/>
      <x:c r="H87" s="16"/>
    </x:row>
    <x:row r="88">
      <x:c r="G88" s="10"/>
      <x:c r="H88" s="16"/>
    </x:row>
    <x:row r="89">
      <x:c r="G89" s="10"/>
      <x:c r="H89" s="16"/>
    </x:row>
    <x:row r="90">
      <x:c r="G90" s="10"/>
      <x:c r="H90" s="16"/>
    </x:row>
    <x:row r="91">
      <x:c r="G91" s="10"/>
      <x:c r="H91" s="16"/>
    </x:row>
    <x:row r="92">
      <x:c r="G92" s="10"/>
      <x:c r="H92" s="16"/>
    </x:row>
    <x:row r="93">
      <x:c r="G93" s="10"/>
      <x:c r="H93" s="16"/>
    </x:row>
    <x:row r="94">
      <x:c r="G94" s="10"/>
      <x:c r="H94" s="16"/>
    </x:row>
    <x:row r="95">
      <x:c r="G95" s="10"/>
      <x:c r="H95" s="16"/>
    </x:row>
    <x:row r="96">
      <x:c r="G96" s="10"/>
      <x:c r="H96" s="16"/>
    </x:row>
    <x:row r="97">
      <x:c r="G97" s="10"/>
      <x:c r="H97" s="16"/>
    </x:row>
    <x:row r="98">
      <x:c r="G98" s="10"/>
      <x:c r="H98" s="16"/>
    </x:row>
    <x:row r="99">
      <x:c r="G99" s="10"/>
      <x:c r="H99" s="16"/>
    </x:row>
    <x:row r="100">
      <x:c r="G100" s="10"/>
      <x:c r="H100" s="16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2" t="str">
        <x:v>同源美元阶梯报价 | 旧 P3 对比 F302</x:v>
      </x:c>
      <x:c r="B1" s="2"/>
      <x:c r="C1" s="2"/>
      <x:c r="D1" s="2"/>
      <x:c r="E1" s="12"/>
      <x:c r="F1" s="12"/>
      <x:c r="G1" s="12"/>
      <x:c r="H1" s="12"/>
      <x:c r="I1" s="12"/>
      <x:c r="J1" s="12"/>
      <x:c r="K1" s="12"/>
      <x:c r="L1" s="12"/>
      <x:c r="M1" s="12"/>
    </x:row>
    <x:row r="3" ht="32" customHeight="1">
      <x:c r="A3" s="5" t="str">
        <x:v>料号</x:v>
      </x:c>
      <x:c r="B3" s="5" t="str">
        <x:v>型号</x:v>
      </x:c>
      <x:c r="C3" s="5" t="str">
        <x:v>旧数量/板</x:v>
      </x:c>
      <x:c r="D3" s="5" t="str">
        <x:v>新数量/板</x:v>
      </x:c>
      <x:c r="E3" s="5" t="str">
        <x:v>1板旧价</x:v>
      </x:c>
      <x:c r="F3" s="5" t="str">
        <x:v>1板新价</x:v>
      </x:c>
      <x:c r="G3" s="5" t="str">
        <x:v>10板旧价</x:v>
      </x:c>
      <x:c r="H3" s="5" t="str">
        <x:v>10板新价</x:v>
      </x:c>
      <x:c r="I3" s="5" t="str">
        <x:v>100板旧价</x:v>
      </x:c>
      <x:c r="J3" s="5" t="str">
        <x:v>100板新价</x:v>
      </x:c>
      <x:c r="K3" s="5" t="str">
        <x:v>1板节省/板</x:v>
      </x:c>
      <x:c r="L3" s="5" t="str">
        <x:v>10板节省/板</x:v>
      </x:c>
      <x:c r="M3" s="5" t="str">
        <x:v>100板节省/板</x:v>
      </x:c>
    </x:row>
    <x:row r="4" ht="40" customHeight="1">
      <x:c r="A4" s="8" t="str">
        <x:v>C106232</x:v>
      </x:c>
      <x:c r="B4" s="8" t="str">
        <x:v>RC0402FR-07100RL</x:v>
      </x:c>
      <x:c r="C4" s="8" t="n">
        <x:v>4</x:v>
      </x:c>
      <x:c r="D4" s="8" t="n">
        <x:v>3</x:v>
      </x:c>
      <x:c r="E4" s="9" t="n">
        <x:v>0.0033</x:v>
      </x:c>
      <x:c r="F4" s="9" t="n">
        <x:v>0.0033</x:v>
      </x:c>
      <x:c r="G4" s="9" t="n">
        <x:v>0.0033</x:v>
      </x:c>
      <x:c r="H4" s="9" t="n">
        <x:v>0.0033</x:v>
      </x:c>
      <x:c r="I4" s="9" t="n">
        <x:v>0.0033</x:v>
      </x:c>
      <x:c r="J4" s="9" t="n">
        <x:v>0.0033</x:v>
      </x:c>
      <x:c r="K4" s="9" t="n">
        <x:f>IF(COUNT(E4:F4)=2,C4*E4-D4*F4,IF(C4=D4,0,"报价缺失"))</x:f>
        <x:v>0.003300000000000001</x:v>
      </x:c>
      <x:c r="L4" s="9" t="n">
        <x:f>IF(COUNT(G4:H4)=2,C4*G4-D4*H4,IF(C4=D4,0,"报价缺失"))</x:f>
        <x:v>0.003300000000000001</x:v>
      </x:c>
      <x:c r="M4" s="9" t="n">
        <x:f>IF(COUNT(I4:J4)=2,C4*I4-D4*J4,IF(C4=D4,0,"报价缺失"))</x:f>
        <x:v>0.003300000000000001</x:v>
      </x:c>
    </x:row>
    <x:row r="5" ht="40" customHeight="1">
      <x:c r="A5" s="8" t="str">
        <x:v>C123302</x:v>
      </x:c>
      <x:c r="B5" s="8" t="str">
        <x:v>SN74LVC1G123DCTR</x:v>
      </x:c>
      <x:c r="C5" s="8" t="n">
        <x:v>1</x:v>
      </x:c>
      <x:c r="D5" s="8" t="n">
        <x:v>1</x:v>
      </x:c>
      <x:c r="E5" s="9" t="n">
        <x:v>0.7719</x:v>
      </x:c>
      <x:c r="F5" s="9" t="n">
        <x:v>0.7719</x:v>
      </x:c>
      <x:c r="G5" s="9" t="n">
        <x:v>0.6586</x:v>
      </x:c>
      <x:c r="H5" s="9" t="n">
        <x:v>0.6586</x:v>
      </x:c>
      <x:c r="I5" s="9" t="n">
        <x:v>0.5124</x:v>
      </x:c>
      <x:c r="J5" s="9" t="n">
        <x:v>0.5124</x:v>
      </x:c>
      <x:c r="K5" s="9" t="n">
        <x:f>IF(COUNT(E5:F5)=2,C5*E5-D5*F5,IF(C5=D5,0,"报价缺失"))</x:f>
        <x:v>0</x:v>
      </x:c>
      <x:c r="L5" s="9" t="n">
        <x:f>IF(COUNT(G5:H5)=2,C5*G5-D5*H5,IF(C5=D5,0,"报价缺失"))</x:f>
        <x:v>0</x:v>
      </x:c>
      <x:c r="M5" s="9" t="n">
        <x:f>IF(COUNT(I5:J5)=2,C5*I5-D5*J5,IF(C5=D5,0,"报价缺失"))</x:f>
        <x:v>0</x:v>
      </x:c>
    </x:row>
    <x:row r="6" ht="40" customHeight="1">
      <x:c r="A6" s="8" t="str">
        <x:v>C125094</x:v>
      </x:c>
      <x:c r="B6" s="8" t="str">
        <x:v>LTST-C190KGKT</x:v>
      </x:c>
      <x:c r="C6" s="8" t="n">
        <x:v>1</x:v>
      </x:c>
      <x:c r="D6" s="8" t="n">
        <x:v>1</x:v>
      </x:c>
      <x:c r="E6" s="9" t="n">
        <x:v>0.0173</x:v>
      </x:c>
      <x:c r="F6" s="9" t="n">
        <x:v>0.0173</x:v>
      </x:c>
      <x:c r="G6" s="9" t="n">
        <x:v>0.0173</x:v>
      </x:c>
      <x:c r="H6" s="9" t="n">
        <x:v>0.0173</x:v>
      </x:c>
      <x:c r="I6" s="9" t="n">
        <x:v>0.0173</x:v>
      </x:c>
      <x:c r="J6" s="9" t="n">
        <x:v>0.0173</x:v>
      </x:c>
      <x:c r="K6" s="9" t="n">
        <x:f>IF(COUNT(E6:F6)=2,C6*E6-D6*F6,IF(C6=D6,0,"报价缺失"))</x:f>
        <x:v>0</x:v>
      </x:c>
      <x:c r="L6" s="9" t="n">
        <x:f>IF(COUNT(G6:H6)=2,C6*G6-D6*H6,IF(C6=D6,0,"报价缺失"))</x:f>
        <x:v>0</x:v>
      </x:c>
      <x:c r="M6" s="9" t="n">
        <x:f>IF(COUNT(I6:J6)=2,C6*I6-D6*J6,IF(C6=D6,0,"报价缺失"))</x:f>
        <x:v>0</x:v>
      </x:c>
    </x:row>
    <x:row r="7" ht="40" customHeight="1">
      <x:c r="A7" s="8" t="str">
        <x:v>C138719</x:v>
      </x:c>
      <x:c r="B7" s="8" t="str">
        <x:v>TPS2553DRVR</x:v>
      </x:c>
      <x:c r="C7" s="8" t="n">
        <x:v>1</x:v>
      </x:c>
      <x:c r="D7" s="8" t="n">
        <x:v>1</x:v>
      </x:c>
      <x:c r="E7" s="9" t="n">
        <x:v>0.5835</x:v>
      </x:c>
      <x:c r="F7" s="9" t="n">
        <x:v>0.5835</x:v>
      </x:c>
      <x:c r="G7" s="9" t="n">
        <x:v>0.4884</x:v>
      </x:c>
      <x:c r="H7" s="9" t="n">
        <x:v>0.4884</x:v>
      </x:c>
      <x:c r="I7" s="9" t="n">
        <x:v>0.395</x:v>
      </x:c>
      <x:c r="J7" s="9" t="n">
        <x:v>0.395</x:v>
      </x:c>
      <x:c r="K7" s="9" t="n">
        <x:f>IF(COUNT(E7:F7)=2,C7*E7-D7*F7,IF(C7=D7,0,"报价缺失"))</x:f>
        <x:v>0</x:v>
      </x:c>
      <x:c r="L7" s="9" t="n">
        <x:f>IF(COUNT(G7:H7)=2,C7*G7-D7*H7,IF(C7=D7,0,"报价缺失"))</x:f>
        <x:v>0</x:v>
      </x:c>
      <x:c r="M7" s="9" t="n">
        <x:f>IF(COUNT(I7:J7)=2,C7*I7-D7*J7,IF(C7=D7,0,"报价缺失"))</x:f>
        <x:v>0</x:v>
      </x:c>
    </x:row>
    <x:row r="8" ht="40" customHeight="1">
      <x:c r="A8" s="8" t="str">
        <x:v>C15195</x:v>
      </x:c>
      <x:c r="B8" s="8" t="str">
        <x:v>CL05B103KB5NNNC</x:v>
      </x:c>
      <x:c r="C8" s="8" t="n">
        <x:v>0</x:v>
      </x:c>
      <x:c r="D8" s="8" t="n">
        <x:v>1</x:v>
      </x:c>
      <x:c r="E8" s="9" t="n">
        <x:v>0</x:v>
      </x:c>
      <x:c r="F8" s="9" t="n">
        <x:v>0.0051</x:v>
      </x:c>
      <x:c r="G8" s="9" t="n">
        <x:v>0</x:v>
      </x:c>
      <x:c r="H8" s="9" t="n">
        <x:v>0.0051</x:v>
      </x:c>
      <x:c r="I8" s="9" t="n">
        <x:v>0</x:v>
      </x:c>
      <x:c r="J8" s="9" t="n">
        <x:v>0.0051</x:v>
      </x:c>
      <x:c r="K8" s="9" t="n">
        <x:f>IF(COUNT(E8:F8)=2,C8*E8-D8*F8,IF(C8=D8,0,"报价缺失"))</x:f>
        <x:v>-0.0051</x:v>
      </x:c>
      <x:c r="L8" s="9" t="n">
        <x:f>IF(COUNT(G8:H8)=2,C8*G8-D8*H8,IF(C8=D8,0,"报价缺失"))</x:f>
        <x:v>-0.0051</x:v>
      </x:c>
      <x:c r="M8" s="9" t="n">
        <x:f>IF(COUNT(I8:J8)=2,C8*I8-D8*J8,IF(C8=D8,0,"报价缺失"))</x:f>
        <x:v>-0.0051</x:v>
      </x:c>
    </x:row>
    <x:row r="9" ht="40" customHeight="1">
      <x:c r="A9" s="8" t="str">
        <x:v>C1525</x:v>
      </x:c>
      <x:c r="B9" s="8" t="str">
        <x:v>CL05B104KO5NNNC</x:v>
      </x:c>
      <x:c r="C9" s="8" t="n">
        <x:v>25</x:v>
      </x:c>
      <x:c r="D9" s="8" t="n">
        <x:v>23</x:v>
      </x:c>
      <x:c r="E9" s="9" t="n">
        <x:v>0.0046</x:v>
      </x:c>
      <x:c r="F9" s="9" t="n">
        <x:v>0.0046</x:v>
      </x:c>
      <x:c r="G9" s="9" t="n">
        <x:v>0.0046</x:v>
      </x:c>
      <x:c r="H9" s="9" t="n">
        <x:v>0.0046</x:v>
      </x:c>
      <x:c r="I9" s="9" t="n">
        <x:v>0.0034</x:v>
      </x:c>
      <x:c r="J9" s="9" t="n">
        <x:v>0.0034</x:v>
      </x:c>
      <x:c r="K9" s="9" t="n">
        <x:f>IF(COUNT(E9:F9)=2,C9*E9-D9*F9,IF(C9=D9,0,"报价缺失"))</x:f>
        <x:v>0.009199999999999986</x:v>
      </x:c>
      <x:c r="L9" s="9" t="n">
        <x:f>IF(COUNT(G9:H9)=2,C9*G9-D9*H9,IF(C9=D9,0,"报价缺失"))</x:f>
        <x:v>0.009199999999999986</x:v>
      </x:c>
      <x:c r="M9" s="9" t="n">
        <x:f>IF(COUNT(I9:J9)=2,C9*I9-D9*J9,IF(C9=D9,0,"报价缺失"))</x:f>
        <x:v>0.0068000000000000005</x:v>
      </x:c>
    </x:row>
    <x:row r="10" ht="40" customHeight="1">
      <x:c r="A10" s="8" t="str">
        <x:v>C1555</x:v>
      </x:c>
      <x:c r="B10" s="8" t="str">
        <x:v>0402CG220J500NT</x:v>
      </x:c>
      <x:c r="C10" s="8" t="n">
        <x:v>16</x:v>
      </x:c>
      <x:c r="D10" s="8" t="n">
        <x:v>16</x:v>
      </x:c>
      <x:c r="E10" s="9" t="n">
        <x:v>0.0043</x:v>
      </x:c>
      <x:c r="F10" s="9" t="n">
        <x:v>0.0043</x:v>
      </x:c>
      <x:c r="G10" s="9" t="n">
        <x:v>0.0043</x:v>
      </x:c>
      <x:c r="H10" s="9" t="n">
        <x:v>0.0043</x:v>
      </x:c>
      <x:c r="I10" s="9" t="n">
        <x:v>0.0034</x:v>
      </x:c>
      <x:c r="J10" s="9" t="n">
        <x:v>0.0034</x:v>
      </x:c>
      <x:c r="K10" s="9" t="n">
        <x:f>IF(COUNT(E10:F10)=2,C10*E10-D10*F10,IF(C10=D10,0,"报价缺失"))</x:f>
        <x:v>0</x:v>
      </x:c>
      <x:c r="L10" s="9" t="n">
        <x:f>IF(COUNT(G10:H10)=2,C10*G10-D10*H10,IF(C10=D10,0,"报价缺失"))</x:f>
        <x:v>0</x:v>
      </x:c>
      <x:c r="M10" s="9" t="n">
        <x:f>IF(COUNT(I10:J10)=2,C10*I10-D10*J10,IF(C10=D10,0,"报价缺失"))</x:f>
        <x:v>0</x:v>
      </x:c>
    </x:row>
    <x:row r="11" ht="40" customHeight="1">
      <x:c r="A11" s="8" t="str">
        <x:v>C190095</x:v>
      </x:c>
      <x:c r="B11" s="8" t="str">
        <x:v>RT0402BRD0710KL</x:v>
      </x:c>
      <x:c r="C11" s="8" t="n">
        <x:v>2</x:v>
      </x:c>
      <x:c r="D11" s="8" t="n">
        <x:v>0</x:v>
      </x:c>
      <x:c r="E11" s="9" t="n">
        <x:v>0.0273</x:v>
      </x:c>
      <x:c r="F11" s="9" t="n">
        <x:v>0</x:v>
      </x:c>
      <x:c r="G11" s="9" t="n">
        <x:v>0.0273</x:v>
      </x:c>
      <x:c r="H11" s="9" t="n">
        <x:v>0</x:v>
      </x:c>
      <x:c r="I11" s="9" t="n">
        <x:v>0.0273</x:v>
      </x:c>
      <x:c r="J11" s="9" t="n">
        <x:v>0</x:v>
      </x:c>
      <x:c r="K11" s="9" t="n">
        <x:f>IF(COUNT(E11:F11)=2,C11*E11-D11*F11,IF(C11=D11,0,"报价缺失"))</x:f>
        <x:v>0.0546</x:v>
      </x:c>
      <x:c r="L11" s="9" t="n">
        <x:f>IF(COUNT(G11:H11)=2,C11*G11-D11*H11,IF(C11=D11,0,"报价缺失"))</x:f>
        <x:v>0.0546</x:v>
      </x:c>
      <x:c r="M11" s="9" t="n">
        <x:f>IF(COUNT(I11:J11)=2,C11*I11-D11*J11,IF(C11=D11,0,"报价缺失"))</x:f>
        <x:v>0.0546</x:v>
      </x:c>
    </x:row>
    <x:row r="12" ht="40" customHeight="1">
      <x:c r="A12" s="8" t="str">
        <x:v>C19224</x:v>
      </x:c>
      <x:c r="B12" s="8" t="str">
        <x:v>PESD5V0S1BA,115</x:v>
      </x:c>
      <x:c r="C12" s="8" t="n">
        <x:v>1</x:v>
      </x:c>
      <x:c r="D12" s="8" t="n">
        <x:v>1</x:v>
      </x:c>
      <x:c r="E12" s="9" t="n">
        <x:v>0.0866</x:v>
      </x:c>
      <x:c r="F12" s="9" t="n">
        <x:v>0.0866</x:v>
      </x:c>
      <x:c r="G12" s="9" t="n">
        <x:v>0.0866</x:v>
      </x:c>
      <x:c r="H12" s="9" t="n">
        <x:v>0.0866</x:v>
      </x:c>
      <x:c r="I12" s="9" t="n">
        <x:v>0.0687</x:v>
      </x:c>
      <x:c r="J12" s="9" t="n">
        <x:v>0.0687</x:v>
      </x:c>
      <x:c r="K12" s="9" t="n">
        <x:f>IF(COUNT(E12:F12)=2,C12*E12-D12*F12,IF(C12=D12,0,"报价缺失"))</x:f>
        <x:v>0</x:v>
      </x:c>
      <x:c r="L12" s="9" t="n">
        <x:f>IF(COUNT(G12:H12)=2,C12*G12-D12*H12,IF(C12=D12,0,"报价缺失"))</x:f>
        <x:v>0</x:v>
      </x:c>
      <x:c r="M12" s="9" t="n">
        <x:f>IF(COUNT(I12:J12)=2,C12*I12-D12*J12,IF(C12=D12,0,"报价缺失"))</x:f>
        <x:v>0</x:v>
      </x:c>
    </x:row>
    <x:row r="13" ht="40" customHeight="1">
      <x:c r="A13" s="8" t="str">
        <x:v>C19269752</x:v>
      </x:c>
      <x:c r="B13" s="8" t="str">
        <x:v>IR11-21C/TR8</x:v>
      </x:c>
      <x:c r="C13" s="8" t="n">
        <x:v>16</x:v>
      </x:c>
      <x:c r="D13" s="8" t="n">
        <x:v>16</x:v>
      </x:c>
      <x:c r="E13" s="9" t="n">
        <x:v>0.0459</x:v>
      </x:c>
      <x:c r="F13" s="9" t="n">
        <x:v>0.0459</x:v>
      </x:c>
      <x:c r="G13" s="9" t="n">
        <x:v>0.0358</x:v>
      </x:c>
      <x:c r="H13" s="9" t="n">
        <x:v>0.0358</x:v>
      </x:c>
      <x:c r="I13" s="9" t="n">
        <x:v>0.0307</x:v>
      </x:c>
      <x:c r="J13" s="9" t="n">
        <x:v>0.0307</x:v>
      </x:c>
      <x:c r="K13" s="9" t="n">
        <x:f>IF(COUNT(E13:F13)=2,C13*E13-D13*F13,IF(C13=D13,0,"报价缺失"))</x:f>
        <x:v>0</x:v>
      </x:c>
      <x:c r="L13" s="9" t="n">
        <x:f>IF(COUNT(G13:H13)=2,C13*G13-D13*H13,IF(C13=D13,0,"报价缺失"))</x:f>
        <x:v>0</x:v>
      </x:c>
      <x:c r="M13" s="9" t="n">
        <x:f>IF(COUNT(I13:J13)=2,C13*I13-D13*J13,IF(C13=D13,0,"报价缺失"))</x:f>
        <x:v>0</x:v>
      </x:c>
    </x:row>
    <x:row r="14" ht="40" customHeight="1">
      <x:c r="A14" s="8" t="str">
        <x:v>C19330</x:v>
      </x:c>
      <x:c r="B14" s="8" t="str">
        <x:v>BLM18AG601SN1D</x:v>
      </x:c>
      <x:c r="C14" s="8" t="n">
        <x:v>1</x:v>
      </x:c>
      <x:c r="D14" s="8" t="n">
        <x:v>1</x:v>
      </x:c>
      <x:c r="E14" s="9" t="n">
        <x:v>0.0133</x:v>
      </x:c>
      <x:c r="F14" s="9" t="n">
        <x:v>0.0133</x:v>
      </x:c>
      <x:c r="G14" s="9" t="n">
        <x:v>0.0133</x:v>
      </x:c>
      <x:c r="H14" s="9" t="n">
        <x:v>0.0133</x:v>
      </x:c>
      <x:c r="I14" s="9" t="n">
        <x:v>0.0133</x:v>
      </x:c>
      <x:c r="J14" s="9" t="n">
        <x:v>0.0133</x:v>
      </x:c>
      <x:c r="K14" s="9" t="n">
        <x:f>IF(COUNT(E14:F14)=2,C14*E14-D14*F14,IF(C14=D14,0,"报价缺失"))</x:f>
        <x:v>0</x:v>
      </x:c>
      <x:c r="L14" s="9" t="n">
        <x:f>IF(COUNT(G14:H14)=2,C14*G14-D14*H14,IF(C14=D14,0,"报价缺失"))</x:f>
        <x:v>0</x:v>
      </x:c>
      <x:c r="M14" s="9" t="n">
        <x:f>IF(COUNT(I14:J14)=2,C14*I14-D14*J14,IF(C14=D14,0,"报价缺失"))</x:f>
        <x:v>0</x:v>
      </x:c>
    </x:row>
    <x:row r="15" ht="40" customHeight="1">
      <x:c r="A15" s="8" t="str">
        <x:v>C19702</x:v>
      </x:c>
      <x:c r="B15" s="8" t="str">
        <x:v>CL10A106KP8NNNC</x:v>
      </x:c>
      <x:c r="C15" s="8" t="n">
        <x:v>3</x:v>
      </x:c>
      <x:c r="D15" s="8" t="n">
        <x:v>4</x:v>
      </x:c>
      <x:c r="E15" s="9" t="n">
        <x:v>0.0322</x:v>
      </x:c>
      <x:c r="F15" s="9" t="n">
        <x:v>0.0322</x:v>
      </x:c>
      <x:c r="G15" s="9" t="n">
        <x:v>0.0322</x:v>
      </x:c>
      <x:c r="H15" s="9" t="n">
        <x:v>0.0322</x:v>
      </x:c>
      <x:c r="I15" s="9" t="n">
        <x:v>0.0251</x:v>
      </x:c>
      <x:c r="J15" s="9" t="n">
        <x:v>0.0251</x:v>
      </x:c>
      <x:c r="K15" s="9" t="n">
        <x:f>IF(COUNT(E15:F15)=2,C15*E15-D15*F15,IF(C15=D15,0,"报价缺失"))</x:f>
        <x:v>-0.032200000000000006</x:v>
      </x:c>
      <x:c r="L15" s="9" t="n">
        <x:f>IF(COUNT(G15:H15)=2,C15*G15-D15*H15,IF(C15=D15,0,"报价缺失"))</x:f>
        <x:v>-0.032200000000000006</x:v>
      </x:c>
      <x:c r="M15" s="9" t="n">
        <x:f>IF(COUNT(I15:J15)=2,C15*I15-D15*J15,IF(C15=D15,0,"报价缺失"))</x:f>
        <x:v>-0.025099999999999997</x:v>
      </x:c>
    </x:row>
    <x:row r="16" ht="40" customHeight="1">
      <x:c r="A16" s="8" t="str">
        <x:v>C2068031</x:v>
      </x:c>
      <x:c r="B16" s="8" t="str">
        <x:v>TPS3702CX33DDCR</x:v>
      </x:c>
      <x:c r="C16" s="8" t="n">
        <x:v>1</x:v>
      </x:c>
      <x:c r="D16" s="8" t="n">
        <x:v>1</x:v>
      </x:c>
      <x:c r="E16" s="9" t="n">
        <x:v>1.7232</x:v>
      </x:c>
      <x:c r="F16" s="9" t="n">
        <x:v>1.7232</x:v>
      </x:c>
      <x:c r="G16" s="9" t="n">
        <x:v>1.5756</x:v>
      </x:c>
      <x:c r="H16" s="9" t="n">
        <x:v>1.5756</x:v>
      </x:c>
      <x:c r="I16" s="9" t="n">
        <x:v>1.3871</x:v>
      </x:c>
      <x:c r="J16" s="9" t="n">
        <x:v>1.3871</x:v>
      </x:c>
      <x:c r="K16" s="9" t="n">
        <x:f>IF(COUNT(E16:F16)=2,C16*E16-D16*F16,IF(C16=D16,0,"报价缺失"))</x:f>
        <x:v>0</x:v>
      </x:c>
      <x:c r="L16" s="9" t="n">
        <x:f>IF(COUNT(G16:H16)=2,C16*G16-D16*H16,IF(C16=D16,0,"报价缺失"))</x:f>
        <x:v>0</x:v>
      </x:c>
      <x:c r="M16" s="9" t="n">
        <x:f>IF(COUNT(I16:J16)=2,C16*I16-D16*J16,IF(C16=D16,0,"报价缺失"))</x:f>
        <x:v>0</x:v>
      </x:c>
    </x:row>
    <x:row r="17" ht="40" customHeight="1">
      <x:c r="A17" s="8" t="str">
        <x:v>C2443469</x:v>
      </x:c>
      <x:c r="B17" s="8" t="str">
        <x:v>PESD3V3U1UB,115</x:v>
      </x:c>
      <x:c r="C17" s="8" t="n">
        <x:v>2</x:v>
      </x:c>
      <x:c r="D17" s="8" t="n">
        <x:v>2</x:v>
      </x:c>
      <x:c r="E17" s="9" t="n">
        <x:v>0.0441</x:v>
      </x:c>
      <x:c r="F17" s="9" t="n">
        <x:v>0.0441</x:v>
      </x:c>
      <x:c r="G17" s="9" t="n">
        <x:v>0.0441</x:v>
      </x:c>
      <x:c r="H17" s="9" t="n">
        <x:v>0.0441</x:v>
      </x:c>
      <x:c r="I17" s="9" t="n">
        <x:v>0.0349</x:v>
      </x:c>
      <x:c r="J17" s="9" t="n">
        <x:v>0.0349</x:v>
      </x:c>
      <x:c r="K17" s="9" t="n">
        <x:f>IF(COUNT(E17:F17)=2,C17*E17-D17*F17,IF(C17=D17,0,"报价缺失"))</x:f>
        <x:v>0</x:v>
      </x:c>
      <x:c r="L17" s="9" t="n">
        <x:f>IF(COUNT(G17:H17)=2,C17*G17-D17*H17,IF(C17=D17,0,"报价缺失"))</x:f>
        <x:v>0</x:v>
      </x:c>
      <x:c r="M17" s="9" t="n">
        <x:f>IF(COUNT(I17:J17)=2,C17*I17-D17*J17,IF(C17=D17,0,"报价缺失"))</x:f>
        <x:v>0</x:v>
      </x:c>
    </x:row>
    <x:row r="18" ht="40" customHeight="1">
      <x:c r="A18" s="8" t="str">
        <x:v>C25087</x:v>
      </x:c>
      <x:c r="B18" s="8" t="str">
        <x:v>0402WGF2000TCE</x:v>
      </x:c>
      <x:c r="C18" s="8" t="n">
        <x:v>1</x:v>
      </x:c>
      <x:c r="D18" s="8" t="n">
        <x:v>1</x:v>
      </x:c>
      <x:c r="E18" s="9" t="n">
        <x:v>0.0029</x:v>
      </x:c>
      <x:c r="F18" s="9" t="n">
        <x:v>0.0029</x:v>
      </x:c>
      <x:c r="G18" s="9" t="n">
        <x:v>0.0029</x:v>
      </x:c>
      <x:c r="H18" s="9" t="n">
        <x:v>0.0029</x:v>
      </x:c>
      <x:c r="I18" s="9" t="n">
        <x:v>0.0029</x:v>
      </x:c>
      <x:c r="J18" s="9" t="n">
        <x:v>0.0029</x:v>
      </x:c>
      <x:c r="K18" s="9" t="n">
        <x:f>IF(COUNT(E18:F18)=2,C18*E18-D18*F18,IF(C18=D18,0,"报价缺失"))</x:f>
        <x:v>0</x:v>
      </x:c>
      <x:c r="L18" s="9" t="n">
        <x:f>IF(COUNT(G18:H18)=2,C18*G18-D18*H18,IF(C18=D18,0,"报价缺失"))</x:f>
        <x:v>0</x:v>
      </x:c>
      <x:c r="M18" s="9" t="n">
        <x:f>IF(COUNT(I18:J18)=2,C18*I18-D18*J18,IF(C18=D18,0,"报价缺失"))</x:f>
        <x:v>0</x:v>
      </x:c>
    </x:row>
    <x:row r="19" ht="40" customHeight="1">
      <x:c r="A19" s="8" t="str">
        <x:v>C25092</x:v>
      </x:c>
      <x:c r="B19" s="8" t="str">
        <x:v>0402WGF220JTCE</x:v>
      </x:c>
      <x:c r="C19" s="8" t="n">
        <x:v>2</x:v>
      </x:c>
      <x:c r="D19" s="8" t="n">
        <x:v>2</x:v>
      </x:c>
      <x:c r="E19" s="9" t="n">
        <x:v>0.0029</x:v>
      </x:c>
      <x:c r="F19" s="9" t="n">
        <x:v>0.0029</x:v>
      </x:c>
      <x:c r="G19" s="9" t="n">
        <x:v>0.0029</x:v>
      </x:c>
      <x:c r="H19" s="9" t="n">
        <x:v>0.0029</x:v>
      </x:c>
      <x:c r="I19" s="9" t="n">
        <x:v>0.0029</x:v>
      </x:c>
      <x:c r="J19" s="9" t="n">
        <x:v>0.0029</x:v>
      </x:c>
      <x:c r="K19" s="9" t="n">
        <x:f>IF(COUNT(E19:F19)=2,C19*E19-D19*F19,IF(C19=D19,0,"报价缺失"))</x:f>
        <x:v>0</x:v>
      </x:c>
      <x:c r="L19" s="9" t="n">
        <x:f>IF(COUNT(G19:H19)=2,C19*G19-D19*H19,IF(C19=D19,0,"报价缺失"))</x:f>
        <x:v>0</x:v>
      </x:c>
      <x:c r="M19" s="9" t="n">
        <x:f>IF(COUNT(I19:J19)=2,C19*I19-D19*J19,IF(C19=D19,0,"报价缺失"))</x:f>
        <x:v>0</x:v>
      </x:c>
    </x:row>
    <x:row r="20" ht="40" customHeight="1">
      <x:c r="A20" s="8" t="str">
        <x:v>C25118</x:v>
      </x:c>
      <x:c r="B20" s="8" t="str">
        <x:v>0402WGF470JTCE</x:v>
      </x:c>
      <x:c r="C20" s="8" t="n">
        <x:v>1</x:v>
      </x:c>
      <x:c r="D20" s="8" t="n">
        <x:v>1</x:v>
      </x:c>
      <x:c r="E20" s="9" t="n">
        <x:v>0.0037</x:v>
      </x:c>
      <x:c r="F20" s="9" t="n">
        <x:v>0.0037</x:v>
      </x:c>
      <x:c r="G20" s="9" t="n">
        <x:v>0.0037</x:v>
      </x:c>
      <x:c r="H20" s="9" t="n">
        <x:v>0.0037</x:v>
      </x:c>
      <x:c r="I20" s="9" t="n">
        <x:v>0.0037</x:v>
      </x:c>
      <x:c r="J20" s="9" t="n">
        <x:v>0.0037</x:v>
      </x:c>
      <x:c r="K20" s="9" t="n">
        <x:f>IF(COUNT(E20:F20)=2,C20*E20-D20*F20,IF(C20=D20,0,"报价缺失"))</x:f>
        <x:v>0</x:v>
      </x:c>
      <x:c r="L20" s="9" t="n">
        <x:f>IF(COUNT(G20:H20)=2,C20*G20-D20*H20,IF(C20=D20,0,"报价缺失"))</x:f>
        <x:v>0</x:v>
      </x:c>
      <x:c r="M20" s="9" t="n">
        <x:f>IF(COUNT(I20:J20)=2,C20*I20-D20*J20,IF(C20=D20,0,"报价缺失"))</x:f>
        <x:v>0</x:v>
      </x:c>
    </x:row>
    <x:row r="21" ht="40" customHeight="1">
      <x:c r="A21" s="8" t="str">
        <x:v>C25741</x:v>
      </x:c>
      <x:c r="B21" s="8" t="str">
        <x:v>0402WGF1003TCE</x:v>
      </x:c>
      <x:c r="C21" s="8" t="n">
        <x:v>18</x:v>
      </x:c>
      <x:c r="D21" s="8" t="n">
        <x:v>18</x:v>
      </x:c>
      <x:c r="E21" s="9" t="n">
        <x:v>0.0025</x:v>
      </x:c>
      <x:c r="F21" s="9" t="n">
        <x:v>0.0025</x:v>
      </x:c>
      <x:c r="G21" s="9" t="n">
        <x:v>0.0025</x:v>
      </x:c>
      <x:c r="H21" s="9" t="n">
        <x:v>0.0025</x:v>
      </x:c>
      <x:c r="I21" s="9" t="n">
        <x:v>0.0019</x:v>
      </x:c>
      <x:c r="J21" s="9" t="n">
        <x:v>0.0019</x:v>
      </x:c>
      <x:c r="K21" s="9" t="n">
        <x:f>IF(COUNT(E21:F21)=2,C21*E21-D21*F21,IF(C21=D21,0,"报价缺失"))</x:f>
        <x:v>0</x:v>
      </x:c>
      <x:c r="L21" s="9" t="n">
        <x:f>IF(COUNT(G21:H21)=2,C21*G21-D21*H21,IF(C21=D21,0,"报价缺失"))</x:f>
        <x:v>0</x:v>
      </x:c>
      <x:c r="M21" s="9" t="n">
        <x:f>IF(COUNT(I21:J21)=2,C21*I21-D21*J21,IF(C21=D21,0,"报价缺失"))</x:f>
        <x:v>0</x:v>
      </x:c>
    </x:row>
    <x:row r="22" ht="40" customHeight="1">
      <x:c r="A22" s="8" t="str">
        <x:v>C25744</x:v>
      </x:c>
      <x:c r="B22" s="8" t="str">
        <x:v>0402WGF1002TCE</x:v>
      </x:c>
      <x:c r="C22" s="8" t="n">
        <x:v>9</x:v>
      </x:c>
      <x:c r="D22" s="8" t="n">
        <x:v>8</x:v>
      </x:c>
      <x:c r="E22" s="9" t="n">
        <x:v>0.0031</x:v>
      </x:c>
      <x:c r="F22" s="9" t="n">
        <x:v>0.0031</x:v>
      </x:c>
      <x:c r="G22" s="9" t="n">
        <x:v>0.0031</x:v>
      </x:c>
      <x:c r="H22" s="9" t="n">
        <x:v>0.0031</x:v>
      </x:c>
      <x:c r="I22" s="9" t="n">
        <x:v>0.0031</x:v>
      </x:c>
      <x:c r="J22" s="9" t="n">
        <x:v>0.0031</x:v>
      </x:c>
      <x:c r="K22" s="9" t="n">
        <x:f>IF(COUNT(E22:F22)=2,C22*E22-D22*F22,IF(C22=D22,0,"报价缺失"))</x:f>
        <x:v>0.0030999999999999986</x:v>
      </x:c>
      <x:c r="L22" s="9" t="n">
        <x:f>IF(COUNT(G22:H22)=2,C22*G22-D22*H22,IF(C22=D22,0,"报价缺失"))</x:f>
        <x:v>0.0030999999999999986</x:v>
      </x:c>
      <x:c r="M22" s="9" t="n">
        <x:f>IF(COUNT(I22:J22)=2,C22*I22-D22*J22,IF(C22=D22,0,"报价缺失"))</x:f>
        <x:v>0.0030999999999999986</x:v>
      </x:c>
    </x:row>
    <x:row r="23" ht="40" customHeight="1">
      <x:c r="A23" s="8" t="str">
        <x:v>C25745</x:v>
      </x:c>
      <x:c r="B23" s="8" t="str">
        <x:v>0402WGF1103TCE</x:v>
      </x:c>
      <x:c r="C23" s="8" t="n">
        <x:v>1</x:v>
      </x:c>
      <x:c r="D23" s="8" t="n">
        <x:v>1</x:v>
      </x:c>
      <x:c r="E23" s="9" t="n">
        <x:v>0.0022</x:v>
      </x:c>
      <x:c r="F23" s="9" t="n">
        <x:v>0.0022</x:v>
      </x:c>
      <x:c r="G23" s="9" t="n">
        <x:v>0.0022</x:v>
      </x:c>
      <x:c r="H23" s="9" t="n">
        <x:v>0.0022</x:v>
      </x:c>
      <x:c r="I23" s="9" t="n">
        <x:v>0.0022</x:v>
      </x:c>
      <x:c r="J23" s="9" t="n">
        <x:v>0.0022</x:v>
      </x:c>
      <x:c r="K23" s="9" t="n">
        <x:f>IF(COUNT(E23:F23)=2,C23*E23-D23*F23,IF(C23=D23,0,"报价缺失"))</x:f>
        <x:v>0</x:v>
      </x:c>
      <x:c r="L23" s="9" t="n">
        <x:f>IF(COUNT(G23:H23)=2,C23*G23-D23*H23,IF(C23=D23,0,"报价缺失"))</x:f>
        <x:v>0</x:v>
      </x:c>
      <x:c r="M23" s="9" t="n">
        <x:f>IF(COUNT(I23:J23)=2,C23*I23-D23*J23,IF(C23=D23,0,"报价缺失"))</x:f>
        <x:v>0</x:v>
      </x:c>
    </x:row>
    <x:row r="24" ht="40" customHeight="1">
      <x:c r="A24" s="8" t="str">
        <x:v>C25900</x:v>
      </x:c>
      <x:c r="B24" s="8" t="str">
        <x:v>0402WGF4701TCE</x:v>
      </x:c>
      <x:c r="C24" s="8" t="n">
        <x:v>3</x:v>
      </x:c>
      <x:c r="D24" s="8" t="n">
        <x:v>3</x:v>
      </x:c>
      <x:c r="E24" s="9" t="n">
        <x:v>0.0027</x:v>
      </x:c>
      <x:c r="F24" s="9" t="n">
        <x:v>0.0027</x:v>
      </x:c>
      <x:c r="G24" s="9" t="n">
        <x:v>0.0027</x:v>
      </x:c>
      <x:c r="H24" s="9" t="n">
        <x:v>0.0027</x:v>
      </x:c>
      <x:c r="I24" s="9" t="n">
        <x:v>0.0027</x:v>
      </x:c>
      <x:c r="J24" s="9" t="n">
        <x:v>0.0027</x:v>
      </x:c>
      <x:c r="K24" s="9" t="n">
        <x:f>IF(COUNT(E24:F24)=2,C24*E24-D24*F24,IF(C24=D24,0,"报价缺失"))</x:f>
        <x:v>0</x:v>
      </x:c>
      <x:c r="L24" s="9" t="n">
        <x:f>IF(COUNT(G24:H24)=2,C24*G24-D24*H24,IF(C24=D24,0,"报价缺失"))</x:f>
        <x:v>0</x:v>
      </x:c>
      <x:c r="M24" s="9" t="n">
        <x:f>IF(COUNT(I24:J24)=2,C24*I24-D24*J24,IF(C24=D24,0,"报价缺失"))</x:f>
        <x:v>0</x:v>
      </x:c>
    </x:row>
    <x:row r="25" ht="40" customHeight="1">
      <x:c r="A25" s="8" t="str">
        <x:v>C25915</x:v>
      </x:c>
      <x:c r="B25" s="8" t="str">
        <x:v>0402WGF6201TCE</x:v>
      </x:c>
      <x:c r="C25" s="8" t="n">
        <x:v>1</x:v>
      </x:c>
      <x:c r="D25" s="8" t="n">
        <x:v>1</x:v>
      </x:c>
      <x:c r="E25" s="9" t="n">
        <x:v>0.0032</x:v>
      </x:c>
      <x:c r="F25" s="9" t="n">
        <x:v>0.0032</x:v>
      </x:c>
      <x:c r="G25" s="9" t="n">
        <x:v>0.0032</x:v>
      </x:c>
      <x:c r="H25" s="9" t="n">
        <x:v>0.0032</x:v>
      </x:c>
      <x:c r="I25" s="9" t="n">
        <x:v>0.0032</x:v>
      </x:c>
      <x:c r="J25" s="9" t="n">
        <x:v>0.0032</x:v>
      </x:c>
      <x:c r="K25" s="9" t="n">
        <x:f>IF(COUNT(E25:F25)=2,C25*E25-D25*F25,IF(C25=D25,0,"报价缺失"))</x:f>
        <x:v>0</x:v>
      </x:c>
      <x:c r="L25" s="9" t="n">
        <x:f>IF(COUNT(G25:H25)=2,C25*G25-D25*H25,IF(C25=D25,0,"报价缺失"))</x:f>
        <x:v>0</x:v>
      </x:c>
      <x:c r="M25" s="9" t="n">
        <x:f>IF(COUNT(I25:J25)=2,C25*I25-D25*J25,IF(C25=D25,0,"报价缺失"))</x:f>
        <x:v>0</x:v>
      </x:c>
    </x:row>
    <x:row r="26" ht="40" customHeight="1">
      <x:c r="A26" s="8" t="str">
        <x:v>C262946</x:v>
      </x:c>
      <x:c r="B26" s="8" t="str">
        <x:v>STM32F302CCT6</x:v>
      </x:c>
      <x:c r="C26" s="8" t="n">
        <x:v>0</x:v>
      </x:c>
      <x:c r="D26" s="8" t="n">
        <x:v>1</x:v>
      </x:c>
      <x:c r="E26" s="9" t="n">
        <x:v>0</x:v>
      </x:c>
      <x:c r="F26" s="9" t="n">
        <x:v>4.5903</x:v>
      </x:c>
      <x:c r="G26" s="9" t="n">
        <x:v>0</x:v>
      </x:c>
      <x:c r="H26" s="9" t="n">
        <x:v>4.0856</x:v>
      </x:c>
      <x:c r="I26" s="9" t="n">
        <x:v>0</x:v>
      </x:c>
      <x:c r="J26" s="9" t="n">
        <x:v>3.7857</x:v>
      </x:c>
      <x:c r="K26" s="9" t="n">
        <x:f>IF(COUNT(E26:F26)=2,C26*E26-D26*F26,IF(C26=D26,0,"报价缺失"))</x:f>
        <x:v>-4.5903</x:v>
      </x:c>
      <x:c r="L26" s="9" t="n">
        <x:f>IF(COUNT(G26:H26)=2,C26*G26-D26*H26,IF(C26=D26,0,"报价缺失"))</x:f>
        <x:v>-4.0856</x:v>
      </x:c>
      <x:c r="M26" s="9" t="n">
        <x:f>IF(COUNT(I26:J26)=2,C26*I26-D26*J26,IF(C26=D26,0,"报价缺失"))</x:f>
        <x:v>-3.7857</x:v>
      </x:c>
    </x:row>
    <x:row r="27" ht="40" customHeight="1">
      <x:c r="A27" s="8" t="str">
        <x:v>C284464</x:v>
      </x:c>
      <x:c r="B27" s="8" t="str">
        <x:v>ARG02FTC2671</x:v>
      </x:c>
      <x:c r="C27" s="8" t="n">
        <x:v>1</x:v>
      </x:c>
      <x:c r="D27" s="8" t="n">
        <x:v>1</x:v>
      </x:c>
      <x:c r="E27" s="9" t="n">
        <x:v>0.0073</x:v>
      </x:c>
      <x:c r="F27" s="9" t="n">
        <x:v>0.0073</x:v>
      </x:c>
      <x:c r="G27" s="9" t="n">
        <x:v>0.0073</x:v>
      </x:c>
      <x:c r="H27" s="9" t="n">
        <x:v>0.0073</x:v>
      </x:c>
      <x:c r="I27" s="9" t="n">
        <x:v>0.0073</x:v>
      </x:c>
      <x:c r="J27" s="9" t="n">
        <x:v>0.0073</x:v>
      </x:c>
      <x:c r="K27" s="9" t="n">
        <x:f>IF(COUNT(E27:F27)=2,C27*E27-D27*F27,IF(C27=D27,0,"报价缺失"))</x:f>
        <x:v>0</x:v>
      </x:c>
      <x:c r="L27" s="9" t="n">
        <x:f>IF(COUNT(G27:H27)=2,C27*G27-D27*H27,IF(C27=D27,0,"报价缺失"))</x:f>
        <x:v>0</x:v>
      </x:c>
      <x:c r="M27" s="9" t="n">
        <x:f>IF(COUNT(I27:J27)=2,C27*I27-D27*J27,IF(C27=D27,0,"报价缺失"))</x:f>
        <x:v>0</x:v>
      </x:c>
    </x:row>
    <x:row r="28" ht="40" customHeight="1">
      <x:c r="A28" s="8" t="str">
        <x:v>C2921391</x:v>
      </x:c>
      <x:c r="B28" s="8" t="str">
        <x:v>PD15-21B/TR8</x:v>
      </x:c>
      <x:c r="C28" s="8" t="n">
        <x:v>16</x:v>
      </x:c>
      <x:c r="D28" s="8" t="n">
        <x:v>16</x:v>
      </x:c>
      <x:c r="E28" s="9" t="n">
        <x:v>0.0801</x:v>
      </x:c>
      <x:c r="F28" s="9" t="n">
        <x:v>0.0801</x:v>
      </x:c>
      <x:c r="G28" s="9" t="n">
        <x:v>0.0541</x:v>
      </x:c>
      <x:c r="H28" s="9" t="n">
        <x:v>0.0541</x:v>
      </x:c>
      <x:c r="I28" s="9" t="n">
        <x:v>0.0476</x:v>
      </x:c>
      <x:c r="J28" s="9" t="n">
        <x:v>0.0476</x:v>
      </x:c>
      <x:c r="K28" s="9" t="n">
        <x:f>IF(COUNT(E28:F28)=2,C28*E28-D28*F28,IF(C28=D28,0,"报价缺失"))</x:f>
        <x:v>0</x:v>
      </x:c>
      <x:c r="L28" s="9" t="n">
        <x:f>IF(COUNT(G28:H28)=2,C28*G28-D28*H28,IF(C28=D28,0,"报价缺失"))</x:f>
        <x:v>0</x:v>
      </x:c>
      <x:c r="M28" s="9" t="n">
        <x:f>IF(COUNT(I28:J28)=2,C28*I28-D28*J28,IF(C28=D28,0,"报价缺失"))</x:f>
        <x:v>0</x:v>
      </x:c>
    </x:row>
    <x:row r="29" ht="40" customHeight="1">
      <x:c r="A29" s="8" t="str">
        <x:v>C307335</x:v>
      </x:c>
      <x:c r="B29" s="8" t="str">
        <x:v>CL05B223KB5VPNC</x:v>
      </x:c>
      <x:c r="C29" s="8" t="n">
        <x:v>1</x:v>
      </x:c>
      <x:c r="D29" s="8" t="n">
        <x:v>1</x:v>
      </x:c>
      <x:c r="E29" s="9" t="n">
        <x:v>0.0141</x:v>
      </x:c>
      <x:c r="F29" s="9" t="n">
        <x:v>0.0141</x:v>
      </x:c>
      <x:c r="G29" s="9" t="n">
        <x:v>0.0141</x:v>
      </x:c>
      <x:c r="H29" s="9" t="n">
        <x:v>0.0141</x:v>
      </x:c>
      <x:c r="I29" s="9" t="n">
        <x:v>0.0141</x:v>
      </x:c>
      <x:c r="J29" s="9" t="n">
        <x:v>0.0141</x:v>
      </x:c>
      <x:c r="K29" s="9" t="n">
        <x:f>IF(COUNT(E29:F29)=2,C29*E29-D29*F29,IF(C29=D29,0,"报价缺失"))</x:f>
        <x:v>0</x:v>
      </x:c>
      <x:c r="L29" s="9" t="n">
        <x:f>IF(COUNT(G29:H29)=2,C29*G29-D29*H29,IF(C29=D29,0,"报价缺失"))</x:f>
        <x:v>0</x:v>
      </x:c>
      <x:c r="M29" s="9" t="n">
        <x:f>IF(COUNT(I29:J29)=2,C29*I29-D29*J29,IF(C29=D29,0,"报价缺失"))</x:f>
        <x:v>0</x:v>
      </x:c>
    </x:row>
    <x:row r="30" ht="40" customHeight="1">
      <x:c r="A30" s="8" t="str">
        <x:v>C3662799</x:v>
      </x:c>
      <x:c r="B30" s="8" t="str">
        <x:v>TPS259470ARPWR</x:v>
      </x:c>
      <x:c r="C30" s="8" t="n">
        <x:v>1</x:v>
      </x:c>
      <x:c r="D30" s="8" t="n">
        <x:v>1</x:v>
      </x:c>
      <x:c r="E30" s="9" t="n">
        <x:v>1.3314</x:v>
      </x:c>
      <x:c r="F30" s="9" t="n">
        <x:v>1.3314</x:v>
      </x:c>
      <x:c r="G30" s="9" t="n">
        <x:v>1.1065</x:v>
      </x:c>
      <x:c r="H30" s="9" t="n">
        <x:v>1.1065</x:v>
      </x:c>
      <x:c r="I30" s="9" t="n">
        <x:v>0.8455</x:v>
      </x:c>
      <x:c r="J30" s="9" t="n">
        <x:v>0.8455</x:v>
      </x:c>
      <x:c r="K30" s="9" t="n">
        <x:f>IF(COUNT(E30:F30)=2,C30*E30-D30*F30,IF(C30=D30,0,"报价缺失"))</x:f>
        <x:v>0</x:v>
      </x:c>
      <x:c r="L30" s="9" t="n">
        <x:f>IF(COUNT(G30:H30)=2,C30*G30-D30*H30,IF(C30=D30,0,"报价缺失"))</x:f>
        <x:v>0</x:v>
      </x:c>
      <x:c r="M30" s="9" t="n">
        <x:f>IF(COUNT(I30:J30)=2,C30*I30-D30*J30,IF(C30=D30,0,"报价缺失"))</x:f>
        <x:v>0</x:v>
      </x:c>
    </x:row>
    <x:row r="31" ht="40" customHeight="1">
      <x:c r="A31" s="8" t="str">
        <x:v>C398356</x:v>
      </x:c>
      <x:c r="B31" s="8" t="str">
        <x:v>TLV9062IDGKR</x:v>
      </x:c>
      <x:c r="C31" s="8" t="n">
        <x:v>2</x:v>
      </x:c>
      <x:c r="D31" s="8" t="n">
        <x:v>1</x:v>
      </x:c>
      <x:c r="E31" s="9" t="n">
        <x:v>0.2005</x:v>
      </x:c>
      <x:c r="F31" s="9" t="n">
        <x:v>0.2005</x:v>
      </x:c>
      <x:c r="G31" s="9" t="n">
        <x:v>0.2005</x:v>
      </x:c>
      <x:c r="H31" s="9" t="n">
        <x:v>0.2005</x:v>
      </x:c>
      <x:c r="I31" s="9" t="n">
        <x:v>0.1415</x:v>
      </x:c>
      <x:c r="J31" s="9" t="n">
        <x:v>0.1592</x:v>
      </x:c>
      <x:c r="K31" s="9" t="n">
        <x:f>IF(COUNT(E31:F31)=2,C31*E31-D31*F31,IF(C31=D31,0,"报价缺失"))</x:f>
        <x:v>0.2005</x:v>
      </x:c>
      <x:c r="L31" s="9" t="n">
        <x:f>IF(COUNT(G31:H31)=2,C31*G31-D31*H31,IF(C31=D31,0,"报价缺失"))</x:f>
        <x:v>0.2005</x:v>
      </x:c>
      <x:c r="M31" s="9" t="n">
        <x:f>IF(COUNT(I31:J31)=2,C31*I31-D31*J31,IF(C31=D31,0,"报价缺失"))</x:f>
        <x:v>0.12379999999999997</x:v>
      </x:c>
    </x:row>
    <x:row r="32" ht="40" customHeight="1">
      <x:c r="A32" s="8" t="str">
        <x:v>C398358</x:v>
      </x:c>
      <x:c r="B32" s="8" t="str">
        <x:v>TLV9061IDBVR</x:v>
      </x:c>
      <x:c r="C32" s="8" t="n">
        <x:v>1</x:v>
      </x:c>
      <x:c r="D32" s="8" t="n">
        <x:v>1</x:v>
      </x:c>
      <x:c r="E32" s="9" t="n">
        <x:v>0.0944</x:v>
      </x:c>
      <x:c r="F32" s="9" t="n">
        <x:v>0.0944</x:v>
      </x:c>
      <x:c r="G32" s="9" t="n">
        <x:v>0.0944</x:v>
      </x:c>
      <x:c r="H32" s="9" t="n">
        <x:v>0.0944</x:v>
      </x:c>
      <x:c r="I32" s="9" t="n">
        <x:v>0.0758</x:v>
      </x:c>
      <x:c r="J32" s="9" t="n">
        <x:v>0.0758</x:v>
      </x:c>
      <x:c r="K32" s="9" t="n">
        <x:f>IF(COUNT(E32:F32)=2,C32*E32-D32*F32,IF(C32=D32,0,"报价缺失"))</x:f>
        <x:v>0</x:v>
      </x:c>
      <x:c r="L32" s="9" t="n">
        <x:f>IF(COUNT(G32:H32)=2,C32*G32-D32*H32,IF(C32=D32,0,"报价缺失"))</x:f>
        <x:v>0</x:v>
      </x:c>
      <x:c r="M32" s="9" t="n">
        <x:f>IF(COUNT(I32:J32)=2,C32*I32-D32*J32,IF(C32=D32,0,"报价缺失"))</x:f>
        <x:v>0</x:v>
      </x:c>
    </x:row>
    <x:row r="33" ht="40" customHeight="1">
      <x:c r="A33" s="8" t="str">
        <x:v>C485815</x:v>
      </x:c>
      <x:c r="B33" s="8" t="str">
        <x:v>TLC59283RGER</x:v>
      </x:c>
      <x:c r="C33" s="8" t="n">
        <x:v>1</x:v>
      </x:c>
      <x:c r="D33" s="8" t="n">
        <x:v>1</x:v>
      </x:c>
      <x:c r="E33" s="9" t="n">
        <x:v>0.7248</x:v>
      </x:c>
      <x:c r="F33" s="9" t="n">
        <x:v>0.7248</x:v>
      </x:c>
      <x:c r="G33" s="9" t="n">
        <x:v>0.5958</x:v>
      </x:c>
      <x:c r="H33" s="9" t="n">
        <x:v>0.5958</x:v>
      </x:c>
      <x:c r="I33" s="9" t="n">
        <x:v>0.4685</x:v>
      </x:c>
      <x:c r="J33" s="9" t="n">
        <x:v>0.4685</x:v>
      </x:c>
      <x:c r="K33" s="9" t="n">
        <x:f>IF(COUNT(E33:F33)=2,C33*E33-D33*F33,IF(C33=D33,0,"报价缺失"))</x:f>
        <x:v>0</x:v>
      </x:c>
      <x:c r="L33" s="9" t="n">
        <x:f>IF(COUNT(G33:H33)=2,C33*G33-D33*H33,IF(C33=D33,0,"报价缺失"))</x:f>
        <x:v>0</x:v>
      </x:c>
      <x:c r="M33" s="9" t="n">
        <x:f>IF(COUNT(I33:J33)=2,C33*I33-D33*J33,IF(C33=D33,0,"报价缺失"))</x:f>
        <x:v>0</x:v>
      </x:c>
    </x:row>
    <x:row r="34" ht="40" customHeight="1">
      <x:c r="A34" s="8" t="str">
        <x:v>C49210445</x:v>
      </x:c>
      <x:c r="B34" s="8" t="str">
        <x:v>TCC0402X7R105K160AT</x:v>
      </x:c>
      <x:c r="C34" s="8" t="n">
        <x:v>15</x:v>
      </x:c>
      <x:c r="D34" s="8" t="n">
        <x:v>11</x:v>
      </x:c>
      <x:c r="E34" s="9" t="n">
        <x:v>0.013</x:v>
      </x:c>
      <x:c r="F34" s="9" t="n">
        <x:v>0.013</x:v>
      </x:c>
      <x:c r="G34" s="9" t="n">
        <x:v>0.013</x:v>
      </x:c>
      <x:c r="H34" s="9" t="n">
        <x:v>0.013</x:v>
      </x:c>
      <x:c r="I34" s="9" t="n">
        <x:v>0.009</x:v>
      </x:c>
      <x:c r="J34" s="9" t="n">
        <x:v>0.0104</x:v>
      </x:c>
      <x:c r="K34" s="9" t="n">
        <x:f>IF(COUNT(E34:F34)=2,C34*E34-D34*F34,IF(C34=D34,0,"报价缺失"))</x:f>
        <x:v>0.05199999999999999</x:v>
      </x:c>
      <x:c r="L34" s="9" t="n">
        <x:f>IF(COUNT(G34:H34)=2,C34*G34-D34*H34,IF(C34=D34,0,"报价缺失"))</x:f>
        <x:v>0.05199999999999999</x:v>
      </x:c>
      <x:c r="M34" s="9" t="n">
        <x:f>IF(COUNT(I34:J34)=2,C34*I34-D34*J34,IF(C34=D34,0,"报价缺失"))</x:f>
        <x:v>0.02059999999999998</x:v>
      </x:c>
    </x:row>
    <x:row r="35" ht="40" customHeight="1">
      <x:c r="A35" s="8" t="str">
        <x:v>C51901197</x:v>
      </x:c>
      <x:c r="B35" s="8" t="str">
        <x:v>0.5K-AS-5PWB-RW</x:v>
      </x:c>
      <x:c r="C35" s="8" t="n">
        <x:v>1</x:v>
      </x:c>
      <x:c r="D35" s="8" t="n">
        <x:v>1</x:v>
      </x:c>
      <x:c r="E35" s="9" t="n">
        <x:v>0.0735</x:v>
      </x:c>
      <x:c r="F35" s="9" t="n">
        <x:v>0.0735</x:v>
      </x:c>
      <x:c r="G35" s="9" t="n">
        <x:v>0.0735</x:v>
      </x:c>
      <x:c r="H35" s="9" t="n">
        <x:v>0.0735</x:v>
      </x:c>
      <x:c r="I35" s="9" t="n">
        <x:v>0.0585</x:v>
      </x:c>
      <x:c r="J35" s="9" t="n">
        <x:v>0.0585</x:v>
      </x:c>
      <x:c r="K35" s="9" t="n">
        <x:f>IF(COUNT(E35:F35)=2,C35*E35-D35*F35,IF(C35=D35,0,"报价缺失"))</x:f>
        <x:v>0</x:v>
      </x:c>
      <x:c r="L35" s="9" t="n">
        <x:f>IF(COUNT(G35:H35)=2,C35*G35-D35*H35,IF(C35=D35,0,"报价缺失"))</x:f>
        <x:v>0</x:v>
      </x:c>
      <x:c r="M35" s="9" t="n">
        <x:f>IF(COUNT(I35:J35)=2,C35*I35-D35*J35,IF(C35=D35,0,"报价缺失"))</x:f>
        <x:v>0</x:v>
      </x:c>
    </x:row>
    <x:row r="36" ht="40" customHeight="1">
      <x:c r="A36" s="8" t="str">
        <x:v>C53547</x:v>
      </x:c>
      <x:c r="B36" s="8" t="str">
        <x:v>0402CG102J500NT</x:v>
      </x:c>
      <x:c r="C36" s="8" t="n">
        <x:v>2</x:v>
      </x:c>
      <x:c r="D36" s="8" t="n">
        <x:v>2</x:v>
      </x:c>
      <x:c r="E36" s="9" t="n">
        <x:v>0.0089</x:v>
      </x:c>
      <x:c r="F36" s="9" t="n">
        <x:v>0.0089</x:v>
      </x:c>
      <x:c r="G36" s="9" t="n">
        <x:v>0.0089</x:v>
      </x:c>
      <x:c r="H36" s="9" t="n">
        <x:v>0.0089</x:v>
      </x:c>
      <x:c r="I36" s="9" t="n">
        <x:v>0.0089</x:v>
      </x:c>
      <x:c r="J36" s="9" t="n">
        <x:v>0.0089</x:v>
      </x:c>
      <x:c r="K36" s="9" t="n">
        <x:f>IF(COUNT(E36:F36)=2,C36*E36-D36*F36,IF(C36=D36,0,"报价缺失"))</x:f>
        <x:v>0</x:v>
      </x:c>
      <x:c r="L36" s="9" t="n">
        <x:f>IF(COUNT(G36:H36)=2,C36*G36-D36*H36,IF(C36=D36,0,"报价缺失"))</x:f>
        <x:v>0</x:v>
      </x:c>
      <x:c r="M36" s="9" t="n">
        <x:f>IF(COUNT(I36:J36)=2,C36*I36-D36*J36,IF(C36=D36,0,"报价缺失"))</x:f>
        <x:v>0</x:v>
      </x:c>
    </x:row>
    <x:row r="37" ht="40" customHeight="1">
      <x:c r="A37" s="8" t="str">
        <x:v>C5456218</x:v>
      </x:c>
      <x:c r="B37" s="8" t="str">
        <x:v>STM32C031C6T6</x:v>
      </x:c>
      <x:c r="C37" s="8" t="n">
        <x:v>1</x:v>
      </x:c>
      <x:c r="D37" s="8" t="n">
        <x:v>0</x:v>
      </x:c>
      <x:c r="E37" s="9" t="n">
        <x:v>1.8453</x:v>
      </x:c>
      <x:c r="F37" s="9" t="n">
        <x:v>0</x:v>
      </x:c>
      <x:c r="G37" s="9" t="n">
        <x:v>1.5864</x:v>
      </x:c>
      <x:c r="H37" s="9" t="n">
        <x:v>0</x:v>
      </x:c>
      <x:c r="I37" s="9" t="n">
        <x:v>1.4258</x:v>
      </x:c>
      <x:c r="J37" s="9" t="n">
        <x:v>0</x:v>
      </x:c>
      <x:c r="K37" s="9" t="n">
        <x:f>IF(COUNT(E37:F37)=2,C37*E37-D37*F37,IF(C37=D37,0,"报价缺失"))</x:f>
        <x:v>1.8453</x:v>
      </x:c>
      <x:c r="L37" s="9" t="n">
        <x:f>IF(COUNT(G37:H37)=2,C37*G37-D37*H37,IF(C37=D37,0,"报价缺失"))</x:f>
        <x:v>1.5864</x:v>
      </x:c>
      <x:c r="M37" s="9" t="n">
        <x:f>IF(COUNT(I37:J37)=2,C37*I37-D37*J37,IF(C37=D37,0,"报价缺失"))</x:f>
        <x:v>1.4258</x:v>
      </x:c>
    </x:row>
    <x:row r="38" ht="40" customHeight="1">
      <x:c r="A38" s="8" t="str">
        <x:v>C55440</x:v>
      </x:c>
      <x:c r="B38" s="8" t="str">
        <x:v>PESD3V3L2BT,215</x:v>
      </x:c>
      <x:c r="C38" s="8" t="n">
        <x:v>1</x:v>
      </x:c>
      <x:c r="D38" s="8" t="n">
        <x:v>1</x:v>
      </x:c>
      <x:c r="E38" s="9" t="n">
        <x:v>0.079</x:v>
      </x:c>
      <x:c r="F38" s="9" t="n">
        <x:v>0.079</x:v>
      </x:c>
      <x:c r="G38" s="9" t="n">
        <x:v>0.079</x:v>
      </x:c>
      <x:c r="H38" s="9" t="n">
        <x:v>0.079</x:v>
      </x:c>
      <x:c r="I38" s="9" t="n">
        <x:v>0.0616</x:v>
      </x:c>
      <x:c r="J38" s="9" t="n">
        <x:v>0.0616</x:v>
      </x:c>
      <x:c r="K38" s="9" t="n">
        <x:f>IF(COUNT(E38:F38)=2,C38*E38-D38*F38,IF(C38=D38,0,"报价缺失"))</x:f>
        <x:v>0</x:v>
      </x:c>
      <x:c r="L38" s="9" t="n">
        <x:f>IF(COUNT(G38:H38)=2,C38*G38-D38*H38,IF(C38=D38,0,"报价缺失"))</x:f>
        <x:v>0</x:v>
      </x:c>
      <x:c r="M38" s="9" t="n">
        <x:f>IF(COUNT(I38:J38)=2,C38*I38-D38*J38,IF(C38=D38,0,"报价缺失"))</x:f>
        <x:v>0</x:v>
      </x:c>
    </x:row>
    <x:row r="39" ht="40" customHeight="1">
      <x:c r="A39" s="8" t="str">
        <x:v>C596320</x:v>
      </x:c>
      <x:c r="B39" s="8" t="str">
        <x:v>CC1210KKX5R7BB476</x:v>
      </x:c>
      <x:c r="C39" s="8" t="n">
        <x:v>1</x:v>
      </x:c>
      <x:c r="D39" s="8" t="n">
        <x:v>1</x:v>
      </x:c>
      <x:c r="E39" s="9" t="n">
        <x:v>1.2872</x:v>
      </x:c>
      <x:c r="F39" s="9" t="n">
        <x:v>1.2872</x:v>
      </x:c>
      <x:c r="G39" s="9" t="n">
        <x:v>1.0639</x:v>
      </x:c>
      <x:c r="H39" s="9" t="n">
        <x:v>1.0639</x:v>
      </x:c>
      <x:c r="I39" s="9" t="n">
        <x:v>0.8045</x:v>
      </x:c>
      <x:c r="J39" s="9" t="n">
        <x:v>0.8045</x:v>
      </x:c>
      <x:c r="K39" s="9" t="n">
        <x:f>IF(COUNT(E39:F39)=2,C39*E39-D39*F39,IF(C39=D39,0,"报价缺失"))</x:f>
        <x:v>0</x:v>
      </x:c>
      <x:c r="L39" s="9" t="n">
        <x:f>IF(COUNT(G39:H39)=2,C39*G39-D39*H39,IF(C39=D39,0,"报价缺失"))</x:f>
        <x:v>0</x:v>
      </x:c>
      <x:c r="M39" s="9" t="n">
        <x:f>IF(COUNT(I39:J39)=2,C39*I39-D39*J39,IF(C39=D39,0,"报价缺失"))</x:f>
        <x:v>0</x:v>
      </x:c>
    </x:row>
    <x:row r="40" ht="40" customHeight="1">
      <x:c r="A40" s="8" t="str">
        <x:v>C650891</x:v>
      </x:c>
      <x:c r="B40" s="8" t="str">
        <x:v>AD7386BCPZ-RL7</x:v>
      </x:c>
      <x:c r="C40" s="8" t="n">
        <x:v>1</x:v>
      </x:c>
      <x:c r="D40" s="8" t="n">
        <x:v>0</x:v>
      </x:c>
      <x:c r="E40" s="9" t="n">
        <x:v>63.7742</x:v>
      </x:c>
      <x:c r="F40" s="9" t="n">
        <x:v>0</x:v>
      </x:c>
      <x:c r="G40" s="9" t="n">
        <x:v>63.7742</x:v>
      </x:c>
      <x:c r="H40" s="9" t="n">
        <x:v>0</x:v>
      </x:c>
      <x:c r="I40" s="9" t="n">
        <x:v>61.003</x:v>
      </x:c>
      <x:c r="J40" s="9" t="n">
        <x:v>0</x:v>
      </x:c>
      <x:c r="K40" s="9" t="n">
        <x:f>IF(COUNT(E40:F40)=2,C40*E40-D40*F40,IF(C40=D40,0,"报价缺失"))</x:f>
        <x:v>63.7742</x:v>
      </x:c>
      <x:c r="L40" s="9" t="n">
        <x:f>IF(COUNT(G40:H40)=2,C40*G40-D40*H40,IF(C40=D40,0,"报价缺失"))</x:f>
        <x:v>63.7742</x:v>
      </x:c>
      <x:c r="M40" s="9" t="n">
        <x:f>IF(COUNT(I40:J40)=2,C40*I40-D40*J40,IF(C40=D40,0,"报价缺失"))</x:f>
        <x:v>61.003</x:v>
      </x:c>
    </x:row>
    <x:row r="41" ht="40" customHeight="1">
      <x:c r="A41" s="8" t="str">
        <x:v>C705630</x:v>
      </x:c>
      <x:c r="B41" s="8" t="str">
        <x:v>RT0402BRD0720KL</x:v>
      </x:c>
      <x:c r="C41" s="8" t="n">
        <x:v>2</x:v>
      </x:c>
      <x:c r="D41" s="8" t="n">
        <x:v>0</x:v>
      </x:c>
      <x:c r="E41" s="9" t="n">
        <x:v>0.0281</x:v>
      </x:c>
      <x:c r="F41" s="9" t="n">
        <x:v>0</x:v>
      </x:c>
      <x:c r="G41" s="9" t="n">
        <x:v>0.0281</x:v>
      </x:c>
      <x:c r="H41" s="9" t="n">
        <x:v>0</x:v>
      </x:c>
      <x:c r="I41" s="9" t="n">
        <x:v>0.0281</x:v>
      </x:c>
      <x:c r="J41" s="9" t="n">
        <x:v>0</x:v>
      </x:c>
      <x:c r="K41" s="9" t="n">
        <x:f>IF(COUNT(E41:F41)=2,C41*E41-D41*F41,IF(C41=D41,0,"报价缺失"))</x:f>
        <x:v>0.0562</x:v>
      </x:c>
      <x:c r="L41" s="9" t="n">
        <x:f>IF(COUNT(G41:H41)=2,C41*G41-D41*H41,IF(C41=D41,0,"报价缺失"))</x:f>
        <x:v>0.0562</x:v>
      </x:c>
      <x:c r="M41" s="9" t="n">
        <x:f>IF(COUNT(I41:J41)=2,C41*I41-D41*J41,IF(C41=D41,0,"报价缺失"))</x:f>
        <x:v>0.0562</x:v>
      </x:c>
    </x:row>
    <x:row r="42" ht="40" customHeight="1">
      <x:c r="A42" s="8" t="str">
        <x:v>C76965</x:v>
      </x:c>
      <x:c r="B42" s="8" t="str">
        <x:v>GRM1555C1H331JA01D</x:v>
      </x:c>
      <x:c r="C42" s="8" t="n">
        <x:v>2</x:v>
      </x:c>
      <x:c r="D42" s="8" t="n">
        <x:v>2</x:v>
      </x:c>
      <x:c r="E42" s="9" t="n">
        <x:v>0.0118</x:v>
      </x:c>
      <x:c r="F42" s="9" t="n">
        <x:v>0.0118</x:v>
      </x:c>
      <x:c r="G42" s="9" t="n">
        <x:v>0.0095</x:v>
      </x:c>
      <x:c r="H42" s="9" t="n">
        <x:v>0.0095</x:v>
      </x:c>
      <x:c r="I42" s="9" t="n">
        <x:v>0.0076</x:v>
      </x:c>
      <x:c r="J42" s="9" t="n">
        <x:v>0.0076</x:v>
      </x:c>
      <x:c r="K42" s="9" t="n">
        <x:f>IF(COUNT(E42:F42)=2,C42*E42-D42*F42,IF(C42=D42,0,"报价缺失"))</x:f>
        <x:v>0</x:v>
      </x:c>
      <x:c r="L42" s="9" t="n">
        <x:f>IF(COUNT(G42:H42)=2,C42*G42-D42*H42,IF(C42=D42,0,"报价缺失"))</x:f>
        <x:v>0</x:v>
      </x:c>
      <x:c r="M42" s="9" t="n">
        <x:f>IF(COUNT(I42:J42)=2,C42*I42-D42*J42,IF(C42=D42,0,"报价缺失"))</x:f>
        <x:v>0</x:v>
      </x:c>
    </x:row>
    <x:row r="43" ht="40" customHeight="1">
      <x:c r="A43" s="8" t="str">
        <x:v>C779410</x:v>
      </x:c>
      <x:c r="B43" s="8" t="str">
        <x:v>TLV9064IPWR</x:v>
      </x:c>
      <x:c r="C43" s="8" t="n">
        <x:v>4</x:v>
      </x:c>
      <x:c r="D43" s="8" t="n">
        <x:v>4</x:v>
      </x:c>
      <x:c r="E43" s="9" t="n">
        <x:v>0.3927</x:v>
      </x:c>
      <x:c r="F43" s="9" t="n">
        <x:v>0.3927</x:v>
      </x:c>
      <x:c r="G43" s="9" t="n">
        <x:v>0.3927</x:v>
      </x:c>
      <x:c r="H43" s="9" t="n">
        <x:v>0.3927</x:v>
      </x:c>
      <x:c r="I43" s="9" t="n">
        <x:v>0.2709</x:v>
      </x:c>
      <x:c r="J43" s="9" t="n">
        <x:v>0.2709</x:v>
      </x:c>
      <x:c r="K43" s="9" t="n">
        <x:f>IF(COUNT(E43:F43)=2,C43*E43-D43*F43,IF(C43=D43,0,"报价缺失"))</x:f>
        <x:v>0</x:v>
      </x:c>
      <x:c r="L43" s="9" t="n">
        <x:f>IF(COUNT(G43:H43)=2,C43*G43-D43*H43,IF(C43=D43,0,"报价缺失"))</x:f>
        <x:v>0</x:v>
      </x:c>
      <x:c r="M43" s="9" t="n">
        <x:f>IF(COUNT(I43:J43)=2,C43*I43-D43*J43,IF(C43=D43,0,"报价缺失"))</x:f>
        <x:v>0</x:v>
      </x:c>
    </x:row>
    <x:row r="44" ht="40" customHeight="1">
      <x:c r="A44" s="8" t="str">
        <x:v>C7827</x:v>
      </x:c>
      <x:c r="B44" s="8" t="str">
        <x:v>SN74LVC1G04DBVR</x:v>
      </x:c>
      <x:c r="C44" s="8" t="n">
        <x:v>1</x:v>
      </x:c>
      <x:c r="D44" s="8" t="n">
        <x:v>1</x:v>
      </x:c>
      <x:c r="E44" s="9" t="n">
        <x:v>0.082</x:v>
      </x:c>
      <x:c r="F44" s="9" t="n">
        <x:v>0.082</x:v>
      </x:c>
      <x:c r="G44" s="9" t="n">
        <x:v>0.082</x:v>
      </x:c>
      <x:c r="H44" s="9" t="n">
        <x:v>0.082</x:v>
      </x:c>
      <x:c r="I44" s="9" t="n">
        <x:v>0.0652</x:v>
      </x:c>
      <x:c r="J44" s="9" t="n">
        <x:v>0.0652</x:v>
      </x:c>
      <x:c r="K44" s="9" t="n">
        <x:f>IF(COUNT(E44:F44)=2,C44*E44-D44*F44,IF(C44=D44,0,"报价缺失"))</x:f>
        <x:v>0</x:v>
      </x:c>
      <x:c r="L44" s="9" t="n">
        <x:f>IF(COUNT(G44:H44)=2,C44*G44-D44*H44,IF(C44=D44,0,"报价缺失"))</x:f>
        <x:v>0</x:v>
      </x:c>
      <x:c r="M44" s="9" t="n">
        <x:f>IF(COUNT(I44:J44)=2,C44*I44-D44*J44,IF(C44=D44,0,"报价缺失"))</x:f>
        <x:v>0</x:v>
      </x:c>
    </x:row>
    <x:row r="45" ht="40" customHeight="1">
      <x:c r="A45" s="8" t="str">
        <x:v>C967633</x:v>
      </x:c>
      <x:c r="B45" s="8" t="str">
        <x:v>LSM6DS3TR-C</x:v>
      </x:c>
      <x:c r="C45" s="8" t="n">
        <x:v>1</x:v>
      </x:c>
      <x:c r="D45" s="8" t="n">
        <x:v>1</x:v>
      </x:c>
      <x:c r="E45" s="9" t="n">
        <x:v>1.5307</x:v>
      </x:c>
      <x:c r="F45" s="9" t="n">
        <x:v>1.5307</x:v>
      </x:c>
      <x:c r="G45" s="9" t="n">
        <x:v>1.3303</x:v>
      </x:c>
      <x:c r="H45" s="9" t="n">
        <x:v>1.3303</x:v>
      </x:c>
      <x:c r="I45" s="9" t="n">
        <x:v>1.0577</x:v>
      </x:c>
      <x:c r="J45" s="9" t="n">
        <x:v>1.0577</x:v>
      </x:c>
      <x:c r="K45" s="9" t="n">
        <x:f>IF(COUNT(E45:F45)=2,C45*E45-D45*F45,IF(C45=D45,0,"报价缺失"))</x:f>
        <x:v>0</x:v>
      </x:c>
      <x:c r="L45" s="9" t="n">
        <x:f>IF(COUNT(G45:H45)=2,C45*G45-D45*H45,IF(C45=D45,0,"报价缺失"))</x:f>
        <x:v>0</x:v>
      </x:c>
      <x:c r="M45" s="9" t="n">
        <x:f>IF(COUNT(I45:J45)=2,C45*I45-D45*J45,IF(C45=D45,0,"报价缺失"))</x:f>
        <x:v>0</x:v>
      </x:c>
    </x:row>
    <x:row r="46" ht="40" customHeight="1">
      <x:c r="A46" s="8" t="str">
        <x:v>C970231</x:v>
      </x:c>
      <x:c r="B46" s="8" t="str">
        <x:v>TMUX1308PWR</x:v>
      </x:c>
      <x:c r="C46" s="8" t="n">
        <x:v>2</x:v>
      </x:c>
      <x:c r="D46" s="8" t="n">
        <x:v>2</x:v>
      </x:c>
      <x:c r="E46" s="9" t="n">
        <x:v>0.1879</x:v>
      </x:c>
      <x:c r="F46" s="9" t="n">
        <x:v>0.1879</x:v>
      </x:c>
      <x:c r="G46" s="9" t="n">
        <x:v>0.1879</x:v>
      </x:c>
      <x:c r="H46" s="9" t="n">
        <x:v>0.1879</x:v>
      </x:c>
      <x:c r="I46" s="9" t="n">
        <x:v>0.1292</x:v>
      </x:c>
      <x:c r="J46" s="9" t="n">
        <x:v>0.1292</x:v>
      </x:c>
      <x:c r="K46" s="9" t="n">
        <x:f>IF(COUNT(E46:F46)=2,C46*E46-D46*F46,IF(C46=D46,0,"报价缺失"))</x:f>
        <x:v>0</x:v>
      </x:c>
      <x:c r="L46" s="9" t="n">
        <x:f>IF(COUNT(G46:H46)=2,C46*G46-D46*H46,IF(C46=D46,0,"报价缺失"))</x:f>
        <x:v>0</x:v>
      </x:c>
      <x:c r="M46" s="9" t="n">
        <x:f>IF(COUNT(I46:J46)=2,C46*I46-D46*J46,IF(C46=D46,0,"报价缺失"))</x:f>
        <x:v>0</x:v>
      </x:c>
    </x:row>
    <x:row r="47" ht="40" customHeight="1">
      <x:c r="A47" s="14" t="str">
        <x:v>每板物料差额（旧－新）；USD净用量估算，非采购结算价</x:v>
      </x:c>
      <x:c r="B47" s="14"/>
      <x:c r="C47" s="14"/>
      <x:c r="D47" s="14"/>
      <x:c r="E47" s="17"/>
      <x:c r="F47" s="17"/>
      <x:c r="G47" s="17"/>
      <x:c r="H47" s="17"/>
      <x:c r="I47" s="17"/>
      <x:c r="J47" s="17"/>
      <x:c r="K47" s="17" t="n">
        <x:f>SUM(K4:K46)</x:f>
        <x:v>61.370799999999996</x:v>
      </x:c>
      <x:c r="L47" s="17" t="n">
        <x:f>SUM(L4:L46)</x:f>
        <x:v>61.6166</x:v>
      </x:c>
      <x:c r="M47" s="17" t="n">
        <x:f>SUM(M4:M46)</x:f>
        <x:v>58.881299999999996</x:v>
      </x:c>
    </x:row>
    <x:row r="48" ht="32" customHeight="1">
      <x:c r="A48" s="8" t="str">
        <x:v>旧 P3 每板物料估算</x:v>
      </x:c>
      <x:c r="B48" s="8"/>
      <x:c r="C48" s="8"/>
      <x:c r="D48" s="8"/>
      <x:c r="E48" s="9"/>
      <x:c r="F48" s="9"/>
      <x:c r="G48" s="9"/>
      <x:c r="H48" s="9"/>
      <x:c r="I48" s="9"/>
      <x:c r="J48" s="9"/>
      <x:c r="K48" s="9" t="n">
        <x:f>SUMPRODUCT(C4:C46,E4:E46)</x:f>
        <x:v>79.2311</x:v>
      </x:c>
      <x:c r="L48" s="9" t="n">
        <x:f>SUMPRODUCT(C4:C46,G4:G46)</x:f>
        <x:v>77.2564</x:v>
      </x:c>
      <x:c r="M48" s="9" t="n">
        <x:f>SUMPRODUCT(C4:C46,I4:I46)</x:f>
        <x:v>71.8236</x:v>
      </x:c>
    </x:row>
    <x:row r="49" ht="32" customHeight="1">
      <x:c r="A49" t="str">
        <x:v>新 F302 每板物料估算</x:v>
      </x:c>
      <x:c r="E49" s="10"/>
      <x:c r="F49" s="10"/>
      <x:c r="G49" s="10"/>
      <x:c r="H49" s="10"/>
      <x:c r="I49" s="10"/>
      <x:c r="J49" s="10"/>
      <x:c r="K49" s="10" t="n">
        <x:f>SUMPRODUCT(D4:D46,F4:F46)</x:f>
        <x:v>17.860300000000006</x:v>
      </x:c>
      <x:c r="L49" s="10" t="n">
        <x:f>SUMPRODUCT(D4:D46,H4:H46)</x:f>
        <x:v>15.639800000000003</x:v>
      </x:c>
      <x:c r="M49" s="10" t="n">
        <x:f>SUMPRODUCT(D4:D46,J4:J46)</x:f>
        <x:v>12.942300000000001</x:v>
      </x:c>
    </x:row>
  </x:sheetData>
  <x:mergeCells>
    <x:mergeCell ref="A1:M1"/>
    <x:mergeCell ref="A47:J47"/>
    <x:mergeCell ref="A48:J48"/>
    <x:mergeCell ref="A49:J4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5" hidden="0" customWidth="1"/>
  </x:cols>
  <x:sheetData>
    <x:row r="1" ht="34" customHeight="1">
      <x:c r="A1" s="2" t="str">
        <x:v>报价和发布边界</x:v>
      </x:c>
    </x:row>
    <x:row r="3" ht="32" customHeight="1">
      <x:c r="A3" s="5" t="str">
        <x:v>说明</x:v>
      </x:c>
    </x:row>
    <x:row r="4" ht="48" customHeight="1">
      <x:c r="A4" s="8" t="str">
        <x:v>价格为LCSC公开美元阶梯报价；不是国内人民币贴片结算价。</x:v>
      </x:c>
    </x:row>
    <x:row r="5" ht="48" customHeight="1">
      <x:c r="A5" s="8" t="str">
        <x:v>成本按每板净用量计算，阶梯数量=max(板数×该料每板用量,最小起订量)，未计采购余料、损耗、运费、税及贴片费。</x:v>
      </x:c>
    </x:row>
    <x:row r="6" ht="48" customHeight="1">
      <x:c r="A6" s="8" t="str">
        <x:v>1/10/100板分别使用同批查询的旧、新BOM阶梯价格；零表示该版本不使用该料，缺失报价留空。</x:v>
      </x:c>
    </x:row>
    <x:row r="7" ht="48" customHeight="1">
      <x:c r="A7" s="8" t="str">
        <x:v>库存为查询时快照，采购前须重新确认；10板缺口列不包括贴片损耗。</x:v>
      </x:c>
    </x:row>
    <x:row r="8" ht="48" customHeight="1">
      <x:c r="A8" s="8" t="str">
        <x:v>STM32F302CCT6库存以BOM库存页本次查询值为准，不自动改换其他MCU；阶梯价不代表相应数量可供货。</x:v>
      </x:c>
    </x:row>
    <x:row r="9" ht="48" customHeight="1">
      <x:c r="A9" s="8" t="str">
        <x:v>板上155个贴装元件；J2与测试点为裸铜，不采购不贴片。</x:v>
      </x:c>
    </x:row>
    <x:row r="10" ht="48" customHeight="1"/>
    <x:row r="11" ht="48" customHeight="1"/>
    <x:row r="12" ht="48" customHeight="1"/>
    <x:row r="13" ht="48" customHeight="1"/>
    <x:row r="14" ht="48" customHeight="1"/>
    <x:row r="15" ht="48" customHeight="1"/>
    <x:row r="16" ht="48" customHeight="1"/>
    <x:row r="17" ht="48" customHeight="1"/>
    <x:row r="18" ht="48" customHeight="1"/>
    <x:row r="19" ht="48" customHeight="1"/>
    <x:row r="20" ht="48" customHeight="1"/>
  </x:sheetData>
  <x:pageMargins left="0.7" right="0.7" top="0.75" bottom="0.75" header="0.3" footer="0.3"/>
</x:worksheet>
</file>