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1fff25c74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备料说明" sheetId="1" r:id="Raf19a43ea3a44561"/>
    <x:sheet xmlns:r="http://schemas.openxmlformats.org/officeDocument/2006/relationships" name="E6贴片BOM" sheetId="2" r:id="R6236de0ac4d147ef"/>
    <x:sheet xmlns:r="http://schemas.openxmlformats.org/officeDocument/2006/relationships" name="E4至E6变更" sheetId="3" r:id="R170b5b62d45e43b9"/>
    <x:sheet xmlns:r="http://schemas.openxmlformats.org/officeDocument/2006/relationships" name="库存来源" sheetId="4" r:id="R62165f75a694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:ss"/>
  </x:numFmts>
  <x:fonts count="4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4B"/>
      </x:patternFill>
    </x:fill>
    <x:fill>
      <x:patternFill patternType="solid">
        <x:fgColor rgb="FFF0F5F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384c1a9f4480a" /><Relationship Type="http://schemas.openxmlformats.org/officeDocument/2006/relationships/theme" Target="/xl/theme/theme1.xml" Id="R2af0f2286ac14ffb" /><Relationship Type="http://schemas.openxmlformats.org/officeDocument/2006/relationships/sharedStrings" Target="/xl/sharedStrings.xml" Id="R6de71a3ce21e426f" /><Relationship Type="http://schemas.openxmlformats.org/officeDocument/2006/relationships/worksheet" Target="/xl/worksheets/sheet1.xml" Id="Raf19a43ea3a44561" /><Relationship Type="http://schemas.openxmlformats.org/officeDocument/2006/relationships/worksheet" Target="/xl/worksheets/sheet2.xml" Id="R6236de0ac4d147ef" /><Relationship Type="http://schemas.openxmlformats.org/officeDocument/2006/relationships/worksheet" Target="/xl/worksheets/sheet3.xml" Id="R170b5b62d45e43b9" /><Relationship Type="http://schemas.openxmlformats.org/officeDocument/2006/relationships/worksheet" Target="/xl/worksheets/sheet4.xml" Id="R62165f75a6944da4" /></Relationships>
</file>

<file path=xl/tables/table1.xml><?xml version="1.0" encoding="utf-8"?>
<x:table xmlns:x="http://schemas.openxmlformats.org/spreadsheetml/2006/main" id="1" name="E6_BOM" displayName="E6_BOM" ref="A1:K42" headerRowCount="1" totalsRowCount="0" totalsRowShown="0">
  <x:tableColumns count="11">
    <x:tableColumn id="1" name="元件位号"/>
    <x:tableColumn id="2" name="参数/型号"/>
    <x:tableColumn id="3" name="制造商"/>
    <x:tableColumn id="4" name="制造商料号"/>
    <x:tableColumn id="5" name="立创料号"/>
    <x:tableColumn id="6" name="KiCad封装"/>
    <x:tableColumn id="7" name="单板用量"/>
    <x:tableColumn id="8" name="参考总净用量"/>
    <x:tableColumn id="9" name="国内库存快照"/>
    <x:tableColumn id="10" name="供货状态"/>
    <x:tableColumn id="11" name="采购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7bad504f764b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6" customHeight="1">
      <x:c r="A1" s="5" t="str">
        <x:v>EVT E6 贴片备料</x:v>
      </x:c>
      <x:c r="B1" s="5" t="str">
        <x:v>2026-09-17</x:v>
      </x:c>
    </x:row>
    <x:row r="2" ht="36" customHeight="1">
      <x:c r="A2" s="3" t="str">
        <x:v>参考装配板数</x:v>
      </x:c>
      <x:c r="B2" s="6" t="n">
        <x:v>2</x:v>
      </x:c>
    </x:row>
    <x:row r="3" ht="36" customHeight="1">
      <x:c r="A3" s="3" t="str">
        <x:v>单板贴装器件</x:v>
      </x:c>
      <x:c r="B3" s="3" t="n">
        <x:f>SUM('E6贴片BOM'!G2:G42)</x:f>
        <x:v>167</x:v>
      </x:c>
    </x:row>
    <x:row r="4" ht="36" customHeight="1">
      <x:c r="A4" s="3" t="str">
        <x:v>参考总净用量</x:v>
      </x:c>
      <x:c r="B4" s="3" t="n">
        <x:f>B2*B3</x:f>
        <x:v>334</x:v>
      </x:c>
    </x:row>
    <x:row r="5" ht="48" customHeight="1">
      <x:c r="A5" s="3" t="str">
        <x:v>库存及采购</x:v>
      </x:c>
      <x:c r="B5" s="3" t="str">
        <x:v>所选料号查询时有商城库存。U14/J1由用户确认尚未备料，其余自有库存待核对；本次未下单。</x:v>
      </x:c>
    </x:row>
    <x:row r="6" ht="48" customHeight="1">
      <x:c r="A6" s="3" t="str">
        <x:v>低库存器件</x:v>
      </x:c>
      <x:c r="B6" s="3" t="str">
        <x:v>U15 AD7386BCPZ-RL7：查询时8件。采购前复核。</x:v>
      </x:c>
    </x:row>
    <x:row r="7" ht="48" customHeight="1">
      <x:c r="A7" s="3" t="str">
        <x:v>数量说明</x:v>
      </x:c>
      <x:c r="B7" s="3" t="str">
        <x:v>沿用原BOM两块板净用量口径。不含贴片损耗、最小起订量及备件。</x:v>
      </x:c>
    </x:row>
    <x:row r="8" ht="48" customHeight="1">
      <x:c r="A8" s="3" t="str">
        <x:v>原始依据</x:v>
      </x:c>
      <x:c r="B8" s="3" t="str">
        <x:v>用户提供 bom.xlsx，工作表 bom_final_lcsc_2026-09-09；原文件保留。</x:v>
      </x:c>
    </x:row>
    <x:row r="9" ht="48" customHeight="1">
      <x:c r="A9" s="3" t="str">
        <x:v>库存范围</x:v>
      </x:c>
      <x:c r="B9" s="3" t="str">
        <x:v>LCSC商品页国内库存快照。未锁库存，嘉立创贴片平台库存和可贴装性需下单时复核。</x:v>
      </x:c>
    </x:row>
    <x:row r="10" ht="48" customHeight="1">
      <x:c r="A10" s="3" t="str">
        <x:v>装配范围</x:v>
      </x:c>
      <x:c r="B10" s="3" t="str">
        <x:v>167个器件全部正面贴装。J2为裸Tag-Connect焊盘，12个TP为背面裸测试点，不采购。</x:v>
      </x:c>
    </x:row>
    <x:row r="11" ht="48" customHeight="1">
      <x:c r="A11" s="3" t="str">
        <x:v>功能</x:v>
      </x:c>
      <x:c r="B11" s="3" t="str">
        <x:v>每颗IR LED对应相邻两颗PD；AD7386双路硬件同时采样。</x:v>
      </x:c>
    </x:row>
    <x:row r="12" ht="48" customHeight="1">
      <x:c r="A12" s="3" t="str">
        <x:v>制造前事项</x:v>
      </x:c>
      <x:c r="B12" s="3" t="str">
        <x:v>新增板上限流及过压恢复保护；输入要求3.3V±3%；核对J1排线线序及工厂贴片方向。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4" hidden="0" customWidth="1"/>
    <x:col min="3" max="3" width="23" hidden="0" customWidth="1"/>
    <x:col min="4" max="4" width="28" hidden="0" customWidth="1"/>
    <x:col min="5" max="5" width="16" hidden="0" customWidth="1"/>
    <x:col min="6" max="6" width="45" hidden="0" customWidth="1"/>
    <x:col min="7" max="7" width="12" hidden="0" customWidth="1"/>
    <x:col min="8" max="8" width="15" hidden="0" customWidth="1"/>
    <x:col min="9" max="9" width="17" hidden="0" customWidth="1"/>
    <x:col min="10" max="10" width="16" hidden="0" customWidth="1"/>
    <x:col min="11" max="11" width="57" hidden="0" customWidth="1"/>
  </x:cols>
  <x:sheetData>
    <x:row r="1" ht="36" customHeight="1">
      <x:c r="A1" s="5" t="str">
        <x:v>元件位号</x:v>
      </x:c>
      <x:c r="B1" s="5" t="str">
        <x:v>参数/型号</x:v>
      </x:c>
      <x:c r="C1" s="5" t="str">
        <x:v>制造商</x:v>
      </x:c>
      <x:c r="D1" s="5" t="str">
        <x:v>制造商料号</x:v>
      </x:c>
      <x:c r="E1" s="5" t="str">
        <x:v>立创料号</x:v>
      </x:c>
      <x:c r="F1" s="5" t="str">
        <x:v>KiCad封装</x:v>
      </x:c>
      <x:c r="G1" s="5" t="str">
        <x:v>单板用量</x:v>
      </x:c>
      <x:c r="H1" s="5" t="str">
        <x:v>参考总净用量</x:v>
      </x:c>
      <x:c r="I1" s="5" t="str">
        <x:v>国内库存快照</x:v>
      </x:c>
      <x:c r="J1" s="5" t="str">
        <x:v>供货状态</x:v>
      </x:c>
      <x:c r="K1" s="5" t="str">
        <x:v>采购说明</x:v>
      </x:c>
    </x:row>
    <x:row r="2" ht="56" customHeight="1">
      <x:c r="A2" s="8" t="str">
        <x:v>U15</x:v>
      </x:c>
      <x:c r="B2" s="8" t="str">
        <x:v>AD7386BCPZ-RL7</x:v>
      </x:c>
      <x:c r="C2" s="8" t="str">
        <x:v>Analog Devices</x:v>
      </x:c>
      <x:c r="D2" s="8" t="str">
        <x:v>AD7386BCPZ-RL7</x:v>
      </x:c>
      <x:c r="E2" s="8" t="str">
        <x:v>C650891</x:v>
      </x:c>
      <x:c r="F2" s="8" t="str">
        <x:v>IC:LFCSP-16_3x3mm_P0.5mm_EP1.1x1.1mm</x:v>
      </x:c>
      <x:c r="G2" s="9" t="n">
        <x:v>1</x:v>
      </x:c>
      <x:c r="H2" s="9" t="n">
        <x:f>G2*'备料说明'!$B$2</x:f>
        <x:v>2</x:v>
      </x:c>
      <x:c r="I2" s="9" t="n">
        <x:v>8</x:v>
      </x:c>
      <x:c r="J2" s="8" t="str">
        <x:v>商城有库存</x:v>
      </x:c>
      <x:c r="K2" s="8" t="str">
        <x:v>库存仅8件，尚未锁定；超过8板（未计损耗）需追加供货。</x:v>
      </x:c>
    </x:row>
    <x:row r="3" ht="56" customHeight="1">
      <x:c r="A3" s="3" t="str">
        <x:v>C1,C18,C19,C20,C21,C22,C23,C24,C37,C39,C40,C41,C43,C46,C47</x:v>
      </x:c>
      <x:c r="B3" s="3" t="str">
        <x:v>1u</x:v>
      </x:c>
      <x:c r="C3" s="3" t="str">
        <x:v>CCTC</x:v>
      </x:c>
      <x:c r="D3" s="3" t="str">
        <x:v>TCC0402X7R105K160AT</x:v>
      </x:c>
      <x:c r="E3" s="3" t="str">
        <x:v>C49210445</x:v>
      </x:c>
      <x:c r="F3" s="3" t="str">
        <x:v>C:0402</x:v>
      </x:c>
      <x:c r="G3" s="7" t="n">
        <x:v>15</x:v>
      </x:c>
      <x:c r="H3" s="7" t="n">
        <x:f>G3*'备料说明'!$B$2</x:f>
        <x:v>30</x:v>
      </x:c>
      <x:c r="I3" s="7" t="n">
        <x:v>6850</x:v>
      </x:c>
      <x:c r="J3" s="3" t="str">
        <x:v>商城有库存</x:v>
      </x:c>
      <x:c r="K3" s="3" t="str">
        <x:v>自有库存未核对；本次未下单。实际数量、损耗及贴片平台可用性待确认。</x:v>
      </x:c>
    </x:row>
    <x:row r="4" ht="56" customHeight="1">
      <x:c r="A4" s="8" t="str">
        <x:v>C2,C3,C4,C5,C6,C7,C8,C9,C10,C11,C12,C13,C14,C15,C16,C17,C31,C32,C35,C36,C42,C44,C45,C48,C49</x:v>
      </x:c>
      <x:c r="B4" s="8" t="str">
        <x:v>100n</x:v>
      </x:c>
      <x:c r="C4" s="8" t="str">
        <x:v>Samsung Electro-Mechanics</x:v>
      </x:c>
      <x:c r="D4" s="8" t="str">
        <x:v>CL05B104KO5NNNC</x:v>
      </x:c>
      <x:c r="E4" s="8" t="str">
        <x:v>C1525</x:v>
      </x:c>
      <x:c r="F4" s="8" t="str">
        <x:v>C:0402</x:v>
      </x:c>
      <x:c r="G4" s="9" t="n">
        <x:v>25</x:v>
      </x:c>
      <x:c r="H4" s="9" t="n">
        <x:f>G4*'备料说明'!$B$2</x:f>
        <x:v>50</x:v>
      </x:c>
      <x:c r="I4" s="9" t="n">
        <x:v>9676500</x:v>
      </x:c>
      <x:c r="J4" s="8" t="str">
        <x:v>商城有库存</x:v>
      </x:c>
      <x:c r="K4" s="8" t="str">
        <x:v>自有库存未核对；本次未下单。实际数量、损耗及贴片平台可用性待确认。</x:v>
      </x:c>
    </x:row>
    <x:row r="5" ht="56" customHeight="1">
      <x:c r="A5" s="3" t="str">
        <x:v>C25,C26,C27</x:v>
      </x:c>
      <x:c r="B5" s="3" t="str">
        <x:v>10u</x:v>
      </x:c>
      <x:c r="C5" s="3" t="str">
        <x:v>Samsung Electro-Mechanics</x:v>
      </x:c>
      <x:c r="D5" s="3" t="str">
        <x:v>CL10A106KP8NNNC</x:v>
      </x:c>
      <x:c r="E5" s="3" t="str">
        <x:v>C19702</x:v>
      </x:c>
      <x:c r="F5" s="3" t="str">
        <x:v>C:0603</x:v>
      </x:c>
      <x:c r="G5" s="7" t="n">
        <x:v>3</x:v>
      </x:c>
      <x:c r="H5" s="7" t="n">
        <x:f>G5*'备料说明'!$B$2</x:f>
        <x:v>6</x:v>
      </x:c>
      <x:c r="I5" s="7" t="n">
        <x:v>6333220</x:v>
      </x:c>
      <x:c r="J5" s="3" t="str">
        <x:v>商城有库存</x:v>
      </x:c>
      <x:c r="K5" s="3" t="str">
        <x:v>自有库存未核对；本次未下单。实际数量、损耗及贴片平台可用性待确认。</x:v>
      </x:c>
    </x:row>
    <x:row r="6" ht="56" customHeight="1">
      <x:c r="A6" s="8" t="str">
        <x:v>C28</x:v>
      </x:c>
      <x:c r="B6" s="8" t="str">
        <x:v>47u 16V X5R</x:v>
      </x:c>
      <x:c r="C6" s="8" t="str">
        <x:v>YAGEO</x:v>
      </x:c>
      <x:c r="D6" s="8" t="str">
        <x:v>CC1210KKX5R7BB476</x:v>
      </x:c>
      <x:c r="E6" s="8" t="str">
        <x:v>C596320</x:v>
      </x:c>
      <x:c r="F6" s="8" t="str">
        <x:v>C:1210</x:v>
      </x:c>
      <x:c r="G6" s="9" t="n">
        <x:v>1</x:v>
      </x:c>
      <x:c r="H6" s="9" t="n">
        <x:f>G6*'备料说明'!$B$2</x:f>
        <x:v>2</x:v>
      </x:c>
      <x:c r="I6" s="9" t="n">
        <x:v>2634</x:v>
      </x:c>
      <x:c r="J6" s="8" t="str">
        <x:v>商城有库存</x:v>
      </x:c>
      <x:c r="K6" s="8" t="str">
        <x:v>自有库存未核对；本次未下单。实际数量、损耗及贴片平台可用性待确认。</x:v>
      </x:c>
    </x:row>
    <x:row r="7" ht="56" customHeight="1">
      <x:c r="A7" s="3" t="str">
        <x:v>C29,C30</x:v>
      </x:c>
      <x:c r="B7" s="3" t="str">
        <x:v>330p C0G</x:v>
      </x:c>
      <x:c r="C7" s="3" t="str">
        <x:v>Murata</x:v>
      </x:c>
      <x:c r="D7" s="3" t="str">
        <x:v>GRM1555C1H331JA01D</x:v>
      </x:c>
      <x:c r="E7" s="3" t="str">
        <x:v>C76965</x:v>
      </x:c>
      <x:c r="F7" s="3" t="str">
        <x:v>C:0402</x:v>
      </x:c>
      <x:c r="G7" s="7" t="n">
        <x:v>2</x:v>
      </x:c>
      <x:c r="H7" s="7" t="n">
        <x:f>G7*'备料说明'!$B$2</x:f>
        <x:v>4</x:v>
      </x:c>
      <x:c r="I7" s="7" t="n">
        <x:v>69426</x:v>
      </x:c>
      <x:c r="J7" s="3" t="str">
        <x:v>商城有库存</x:v>
      </x:c>
      <x:c r="K7" s="3" t="str">
        <x:v>自有库存未核对；本次未下单。实际数量、损耗及贴片平台可用性待确认。</x:v>
      </x:c>
    </x:row>
    <x:row r="8" ht="56" customHeight="1">
      <x:c r="A8" s="8" t="str">
        <x:v>C33,C34</x:v>
      </x:c>
      <x:c r="B8" s="8" t="str">
        <x:v>1n</x:v>
      </x:c>
      <x:c r="C8" s="8" t="str">
        <x:v>FH</x:v>
      </x:c>
      <x:c r="D8" s="8" t="str">
        <x:v>0402CG102J500NT</x:v>
      </x:c>
      <x:c r="E8" s="8" t="str">
        <x:v>C53547</x:v>
      </x:c>
      <x:c r="F8" s="8" t="str">
        <x:v>C:0402</x:v>
      </x:c>
      <x:c r="G8" s="9" t="n">
        <x:v>2</x:v>
      </x:c>
      <x:c r="H8" s="9" t="n">
        <x:f>G8*'备料说明'!$B$2</x:f>
        <x:v>4</x:v>
      </x:c>
      <x:c r="I8" s="9" t="n">
        <x:v>263000</x:v>
      </x:c>
      <x:c r="J8" s="8" t="str">
        <x:v>商城有库存</x:v>
      </x:c>
      <x:c r="K8" s="8" t="str">
        <x:v>自有库存未核对；本次未下单。实际数量、损耗及贴片平台可用性待确认。</x:v>
      </x:c>
    </x:row>
    <x:row r="9" ht="56" customHeight="1">
      <x:c r="A9" s="3" t="str">
        <x:v>C38</x:v>
      </x:c>
      <x:c r="B9" s="3" t="str">
        <x:v>22n X7R</x:v>
      </x:c>
      <x:c r="C9" s="3" t="str">
        <x:v>Samsung Electro-Mechanics</x:v>
      </x:c>
      <x:c r="D9" s="3" t="str">
        <x:v>CL05B223KB5VPNC</x:v>
      </x:c>
      <x:c r="E9" s="3" t="str">
        <x:v>C307335</x:v>
      </x:c>
      <x:c r="F9" s="3" t="str">
        <x:v>C:0402</x:v>
      </x:c>
      <x:c r="G9" s="7" t="n">
        <x:v>1</x:v>
      </x:c>
      <x:c r="H9" s="7" t="n">
        <x:f>G9*'备料说明'!$B$2</x:f>
        <x:v>2</x:v>
      </x:c>
      <x:c r="I9" s="7" t="n">
        <x:v>22900</x:v>
      </x:c>
      <x:c r="J9" s="3" t="str">
        <x:v>商城有库存</x:v>
      </x:c>
      <x:c r="K9" s="3" t="str">
        <x:v>自有库存未核对；本次未下单。实际数量、损耗及贴片平台可用性待确认。</x:v>
      </x:c>
    </x:row>
    <x:row r="10" ht="56" customHeight="1">
      <x:c r="A10" s="8" t="str">
        <x:v>CF1,CF2,CF3,CF4,CF5,CF6,CF7,CF8,CF9,CF10,CF11,CF12,CF13,CF14,CF15,CF16</x:v>
      </x:c>
      <x:c r="B10" s="8" t="str">
        <x:v>22p C0G</x:v>
      </x:c>
      <x:c r="C10" s="8" t="str">
        <x:v>FH</x:v>
      </x:c>
      <x:c r="D10" s="8" t="str">
        <x:v>0402CG220J500NT</x:v>
      </x:c>
      <x:c r="E10" s="8" t="str">
        <x:v>C1555</x:v>
      </x:c>
      <x:c r="F10" s="8" t="str">
        <x:v>C:0402</x:v>
      </x:c>
      <x:c r="G10" s="9" t="n">
        <x:v>16</x:v>
      </x:c>
      <x:c r="H10" s="9" t="n">
        <x:f>G10*'备料说明'!$B$2</x:f>
        <x:v>32</x:v>
      </x:c>
      <x:c r="I10" s="9" t="n">
        <x:v>1093800</x:v>
      </x:c>
      <x:c r="J10" s="8" t="str">
        <x:v>商城有库存</x:v>
      </x:c>
      <x:c r="K10" s="8" t="str">
        <x:v>自有库存未核对；本次未下单。实际数量、损耗及贴片平台可用性待确认。</x:v>
      </x:c>
    </x:row>
    <x:row r="11" ht="56" customHeight="1">
      <x:c r="A11" s="3" t="str">
        <x:v>D1,D2,D3,D4,D5,D6,D7,D8,D9,D10,D11,D12,D13,D14,D15,D16</x:v>
      </x:c>
      <x:c r="B11" s="3" t="str">
        <x:v>IR11-21C/TR8</x:v>
      </x:c>
      <x:c r="C11" s="3" t="str">
        <x:v>Everlight</x:v>
      </x:c>
      <x:c r="D11" s="3" t="str">
        <x:v>IR11-21C/TR8</x:v>
      </x:c>
      <x:c r="E11" s="3" t="str">
        <x:v>C19269752</x:v>
      </x:c>
      <x:c r="F11" s="3" t="str">
        <x:v>IR:1206</x:v>
      </x:c>
      <x:c r="G11" s="7" t="n">
        <x:v>16</x:v>
      </x:c>
      <x:c r="H11" s="7" t="n">
        <x:f>G11*'备料说明'!$B$2</x:f>
        <x:v>32</x:v>
      </x:c>
      <x:c r="I11" s="7" t="n">
        <x:v>12600</x:v>
      </x:c>
      <x:c r="J11" s="3" t="str">
        <x:v>商城有库存</x:v>
      </x:c>
      <x:c r="K11" s="3" t="str">
        <x:v>自有库存未核对；本次未下单。实际数量、损耗及贴片平台可用性待确认。</x:v>
      </x:c>
    </x:row>
    <x:row r="12" ht="56" customHeight="1">
      <x:c r="A12" s="8" t="str">
        <x:v>D17</x:v>
      </x:c>
      <x:c r="B12" s="8" t="str">
        <x:v>PESD5V0S1BA,115</x:v>
      </x:c>
      <x:c r="C12" s="8" t="str">
        <x:v>Nexperia</x:v>
      </x:c>
      <x:c r="D12" s="8" t="str">
        <x:v>PESD5V0S1BA,115</x:v>
      </x:c>
      <x:c r="E12" s="8" t="str">
        <x:v>C19224</x:v>
      </x:c>
      <x:c r="F12" s="8" t="str">
        <x:v>D:SOD-323</x:v>
      </x:c>
      <x:c r="G12" s="9" t="n">
        <x:v>1</x:v>
      </x:c>
      <x:c r="H12" s="9" t="n">
        <x:f>G12*'备料说明'!$B$2</x:f>
        <x:v>2</x:v>
      </x:c>
      <x:c r="I12" s="9" t="n">
        <x:v>70735</x:v>
      </x:c>
      <x:c r="J12" s="8" t="str">
        <x:v>商城有库存</x:v>
      </x:c>
      <x:c r="K12" s="8" t="str">
        <x:v>自有库存未核对；本次未下单。实际数量、损耗及贴片平台可用性待确认。</x:v>
      </x:c>
    </x:row>
    <x:row r="13" ht="56" customHeight="1">
      <x:c r="A13" s="3" t="str">
        <x:v>D18,D19</x:v>
      </x:c>
      <x:c r="B13" s="3" t="str">
        <x:v>PESD3V3U1UB,115</x:v>
      </x:c>
      <x:c r="C13" s="3" t="str">
        <x:v>Nexperia</x:v>
      </x:c>
      <x:c r="D13" s="3" t="str">
        <x:v>PESD3V3U1UB,115</x:v>
      </x:c>
      <x:c r="E13" s="3" t="str">
        <x:v>C2443469</x:v>
      </x:c>
      <x:c r="F13" s="3" t="str">
        <x:v>D:SOD-523</x:v>
      </x:c>
      <x:c r="G13" s="7" t="n">
        <x:v>2</x:v>
      </x:c>
      <x:c r="H13" s="7" t="n">
        <x:f>G13*'备料说明'!$B$2</x:f>
        <x:v>4</x:v>
      </x:c>
      <x:c r="I13" s="7" t="n">
        <x:v>51590</x:v>
      </x:c>
      <x:c r="J13" s="3" t="str">
        <x:v>商城有库存</x:v>
      </x:c>
      <x:c r="K13" s="3" t="str">
        <x:v>自有库存未核对；本次未下单。实际数量、损耗及贴片平台可用性待确认。</x:v>
      </x:c>
    </x:row>
    <x:row r="14" ht="56" customHeight="1">
      <x:c r="A14" s="8" t="str">
        <x:v>D20</x:v>
      </x:c>
      <x:c r="B14" s="8" t="str">
        <x:v>GREEN / STATUS</x:v>
      </x:c>
      <x:c r="C14" s="8" t="str">
        <x:v>Lite-On</x:v>
      </x:c>
      <x:c r="D14" s="8" t="str">
        <x:v>LTST-C190KGKT</x:v>
      </x:c>
      <x:c r="E14" s="8" t="str">
        <x:v>C125094</x:v>
      </x:c>
      <x:c r="F14" s="8" t="str">
        <x:v>LED:0603</x:v>
      </x:c>
      <x:c r="G14" s="9" t="n">
        <x:v>1</x:v>
      </x:c>
      <x:c r="H14" s="9" t="n">
        <x:f>G14*'备料说明'!$B$2</x:f>
        <x:v>2</x:v>
      </x:c>
      <x:c r="I14" s="9" t="n">
        <x:v>247250</x:v>
      </x:c>
      <x:c r="J14" s="8" t="str">
        <x:v>商城有库存</x:v>
      </x:c>
      <x:c r="K14" s="8" t="str">
        <x:v>自有库存未核对；本次未下单。实际数量、损耗及贴片平台可用性待确认。</x:v>
      </x:c>
    </x:row>
    <x:row r="15" ht="56" customHeight="1">
      <x:c r="A15" s="3" t="str">
        <x:v>FB1</x:v>
      </x:c>
      <x:c r="B15" s="3" t="str">
        <x:v>600R@100MHz 500mA</x:v>
      </x:c>
      <x:c r="C15" s="3" t="str">
        <x:v>Murata</x:v>
      </x:c>
      <x:c r="D15" s="3" t="str">
        <x:v>BLM18AG601SN1D</x:v>
      </x:c>
      <x:c r="E15" s="3" t="str">
        <x:v>C19330</x:v>
      </x:c>
      <x:c r="F15" s="3" t="str">
        <x:v>L:0603</x:v>
      </x:c>
      <x:c r="G15" s="7" t="n">
        <x:v>1</x:v>
      </x:c>
      <x:c r="H15" s="7" t="n">
        <x:f>G15*'备料说明'!$B$2</x:f>
        <x:v>2</x:v>
      </x:c>
      <x:c r="I15" s="7" t="n">
        <x:v>705500</x:v>
      </x:c>
      <x:c r="J15" s="3" t="str">
        <x:v>商城有库存</x:v>
      </x:c>
      <x:c r="K15" s="3" t="str">
        <x:v>自有库存未核对；本次未下单。实际数量、损耗及贴片平台可用性待确认。</x:v>
      </x:c>
    </x:row>
    <x:row r="16" ht="56" customHeight="1">
      <x:c r="A16" s="8" t="str">
        <x:v>J1</x:v>
      </x:c>
      <x:c r="B16" s="8" t="str">
        <x:v>0.5K-AS-5PWB-RW</x:v>
      </x:c>
      <x:c r="C16" s="8" t="str">
        <x:v>GUOCONN</x:v>
      </x:c>
      <x:c r="D16" s="8" t="str">
        <x:v>0.5K-AS-5PWB-RW</x:v>
      </x:c>
      <x:c r="E16" s="8" t="str">
        <x:v>C51901197</x:v>
      </x:c>
      <x:c r="F16" s="8" t="str">
        <x:v>J:GUOCONN_0.5K-AS-5PWB-RW</x:v>
      </x:c>
      <x:c r="G16" s="9" t="n">
        <x:v>1</x:v>
      </x:c>
      <x:c r="H16" s="9" t="n">
        <x:f>G16*'备料说明'!$B$2</x:f>
        <x:v>2</x:v>
      </x:c>
      <x:c r="I16" s="9" t="n">
        <x:v>2750</x:v>
      </x:c>
      <x:c r="J16" s="8" t="str">
        <x:v>商城有库存</x:v>
      </x:c>
      <x:c r="K16" s="8" t="str">
        <x:v>GUOCONN新封装，上接触0.3mm排线；板上新增U18限流；正常输入要求3.3V±3%，排线待实物核对。</x:v>
      </x:c>
    </x:row>
    <x:row r="17" ht="56" customHeight="1">
      <x:c r="A17" s="3" t="str">
        <x:v>PD1,PD2,PD3,PD4,PD5,PD6,PD7,PD8,PD9,PD10,PD11,PD12,PD13,PD14,PD15,PD16</x:v>
      </x:c>
      <x:c r="B17" s="3" t="str">
        <x:v>PD15-21B/TR8</x:v>
      </x:c>
      <x:c r="C17" s="3" t="str">
        <x:v>Everlight</x:v>
      </x:c>
      <x:c r="D17" s="3" t="str">
        <x:v>PD15-21B/TR8</x:v>
      </x:c>
      <x:c r="E17" s="3" t="str">
        <x:v>C2921391</x:v>
      </x:c>
      <x:c r="F17" s="3" t="str">
        <x:v>PD:1206</x:v>
      </x:c>
      <x:c r="G17" s="7" t="n">
        <x:v>16</x:v>
      </x:c>
      <x:c r="H17" s="7" t="n">
        <x:f>G17*'备料说明'!$B$2</x:f>
        <x:v>32</x:v>
      </x:c>
      <x:c r="I17" s="7" t="n">
        <x:v>2385</x:v>
      </x:c>
      <x:c r="J17" s="3" t="str">
        <x:v>商城有库存</x:v>
      </x:c>
      <x:c r="K17" s="3" t="str">
        <x:v>自有库存未核对；本次未下单。实际数量、损耗及贴片平台可用性待确认。</x:v>
      </x:c>
    </x:row>
    <x:row r="18" ht="56" customHeight="1">
      <x:c r="A18" s="8" t="str">
        <x:v>R1</x:v>
      </x:c>
      <x:c r="B18" s="8" t="str">
        <x:v>2.67k</x:v>
      </x:c>
      <x:c r="C18" s="8" t="str">
        <x:v>Viking</x:v>
      </x:c>
      <x:c r="D18" s="8" t="str">
        <x:v>ARG02FTC2671</x:v>
      </x:c>
      <x:c r="E18" s="8" t="str">
        <x:v>C284464</x:v>
      </x:c>
      <x:c r="F18" s="8" t="str">
        <x:v>R:0402</x:v>
      </x:c>
      <x:c r="G18" s="9" t="n">
        <x:v>1</x:v>
      </x:c>
      <x:c r="H18" s="9" t="n">
        <x:f>G18*'备料说明'!$B$2</x:f>
        <x:v>2</x:v>
      </x:c>
      <x:c r="I18" s="9" t="n">
        <x:v>400</x:v>
      </x:c>
      <x:c r="J18" s="8" t="str">
        <x:v>商城有库存</x:v>
      </x:c>
      <x:c r="K18" s="8" t="str">
        <x:v>自有库存未核对；本次未下单。实际数量、损耗及贴片平台可用性待确认。</x:v>
      </x:c>
    </x:row>
    <x:row r="19" ht="56" customHeight="1">
      <x:c r="A19" s="3" t="str">
        <x:v>R11,R12,R14,R25</x:v>
      </x:c>
      <x:c r="B19" s="3" t="str">
        <x:v>100</x:v>
      </x:c>
      <x:c r="C19" s="3" t="str">
        <x:v>YAGEO</x:v>
      </x:c>
      <x:c r="D19" s="3" t="str">
        <x:v>RC0402FR-07100RL</x:v>
      </x:c>
      <x:c r="E19" s="3" t="str">
        <x:v>C106232</x:v>
      </x:c>
      <x:c r="F19" s="3" t="str">
        <x:v>R:0402</x:v>
      </x:c>
      <x:c r="G19" s="7" t="n">
        <x:v>4</x:v>
      </x:c>
      <x:c r="H19" s="7" t="n">
        <x:f>G19*'备料说明'!$B$2</x:f>
        <x:v>8</x:v>
      </x:c>
      <x:c r="I19" s="7" t="n">
        <x:v>4453200</x:v>
      </x:c>
      <x:c r="J19" s="3" t="str">
        <x:v>商城有库存</x:v>
      </x:c>
      <x:c r="K19" s="3" t="str">
        <x:v>自有库存未核对；本次未下单。实际数量、损耗及贴片平台可用性待确认。</x:v>
      </x:c>
    </x:row>
    <x:row r="20" ht="56" customHeight="1">
      <x:c r="A20" s="8" t="str">
        <x:v>R13</x:v>
      </x:c>
      <x:c r="B20" s="8" t="str">
        <x:v>47</x:v>
      </x:c>
      <x:c r="C20" s="8" t="str">
        <x:v>UNI-ROYAL</x:v>
      </x:c>
      <x:c r="D20" s="8" t="str">
        <x:v>0402WGF470JTCE</x:v>
      </x:c>
      <x:c r="E20" s="8" t="str">
        <x:v>C25118</x:v>
      </x:c>
      <x:c r="F20" s="8" t="str">
        <x:v>R:0402</x:v>
      </x:c>
      <x:c r="G20" s="9" t="n">
        <x:v>1</x:v>
      </x:c>
      <x:c r="H20" s="9" t="n">
        <x:f>G20*'备料说明'!$B$2</x:f>
        <x:v>2</x:v>
      </x:c>
      <x:c r="I20" s="9" t="n">
        <x:v>307500</x:v>
      </x:c>
      <x:c r="J20" s="8" t="str">
        <x:v>商城有库存</x:v>
      </x:c>
      <x:c r="K20" s="8" t="str">
        <x:v>自有库存未核对；本次未下单。实际数量、损耗及贴片平台可用性待确认。</x:v>
      </x:c>
    </x:row>
    <x:row r="21" ht="56" customHeight="1">
      <x:c r="A21" s="3" t="str">
        <x:v>R18</x:v>
      </x:c>
      <x:c r="B21" s="3" t="str">
        <x:v>200</x:v>
      </x:c>
      <x:c r="C21" s="3" t="str">
        <x:v>UNI-ROYAL</x:v>
      </x:c>
      <x:c r="D21" s="3" t="str">
        <x:v>0402WGF2000TCE</x:v>
      </x:c>
      <x:c r="E21" s="3" t="str">
        <x:v>C25087</x:v>
      </x:c>
      <x:c r="F21" s="3" t="str">
        <x:v>R:0402</x:v>
      </x:c>
      <x:c r="G21" s="7" t="n">
        <x:v>1</x:v>
      </x:c>
      <x:c r="H21" s="7" t="n">
        <x:f>G21*'备料说明'!$B$2</x:f>
        <x:v>2</x:v>
      </x:c>
      <x:c r="I21" s="7" t="n">
        <x:v>2496700</x:v>
      </x:c>
      <x:c r="J21" s="3" t="str">
        <x:v>商城有库存</x:v>
      </x:c>
      <x:c r="K21" s="3" t="str">
        <x:v>自有库存未核对；本次未下单。实际数量、损耗及贴片平台可用性待确认。</x:v>
      </x:c>
    </x:row>
    <x:row r="22" ht="56" customHeight="1">
      <x:c r="A22" s="8" t="str">
        <x:v>R2,R3,R4,R10,R16,R19,R26,R27,R28</x:v>
      </x:c>
      <x:c r="B22" s="8" t="str">
        <x:v>10k</x:v>
      </x:c>
      <x:c r="C22" s="8" t="str">
        <x:v>UNI-ROYAL</x:v>
      </x:c>
      <x:c r="D22" s="8" t="str">
        <x:v>0402WGF1002TCE</x:v>
      </x:c>
      <x:c r="E22" s="8" t="str">
        <x:v>C25744</x:v>
      </x:c>
      <x:c r="F22" s="8" t="str">
        <x:v>R:0402</x:v>
      </x:c>
      <x:c r="G22" s="9" t="n">
        <x:v>9</x:v>
      </x:c>
      <x:c r="H22" s="9" t="n">
        <x:f>G22*'备料说明'!$B$2</x:f>
        <x:v>18</x:v>
      </x:c>
      <x:c r="I22" s="9" t="n">
        <x:v>14715000</x:v>
      </x:c>
      <x:c r="J22" s="8" t="str">
        <x:v>商城有库存</x:v>
      </x:c>
      <x:c r="K22" s="8" t="str">
        <x:v>自有库存未核对；本次未下单。实际数量、损耗及贴片平台可用性待确认。</x:v>
      </x:c>
    </x:row>
    <x:row r="23" ht="56" customHeight="1">
      <x:c r="A23" s="3" t="str">
        <x:v>R20</x:v>
      </x:c>
      <x:c r="B23" s="3" t="str">
        <x:v>6.2k</x:v>
      </x:c>
      <x:c r="C23" s="3" t="str">
        <x:v>UNI-ROYAL</x:v>
      </x:c>
      <x:c r="D23" s="3" t="str">
        <x:v>0402WGF6201TCE</x:v>
      </x:c>
      <x:c r="E23" s="3" t="str">
        <x:v>C25915</x:v>
      </x:c>
      <x:c r="F23" s="3" t="str">
        <x:v>R:0402</x:v>
      </x:c>
      <x:c r="G23" s="7" t="n">
        <x:v>1</x:v>
      </x:c>
      <x:c r="H23" s="7" t="n">
        <x:f>G23*'备料说明'!$B$2</x:f>
        <x:v>2</x:v>
      </x:c>
      <x:c r="I23" s="7" t="n">
        <x:v>136000</x:v>
      </x:c>
      <x:c r="J23" s="3" t="str">
        <x:v>商城有库存</x:v>
      </x:c>
      <x:c r="K23" s="3" t="str">
        <x:v>自有库存未核对；本次未下单。实际数量、损耗及贴片平台可用性待确认。</x:v>
      </x:c>
    </x:row>
    <x:row r="24" ht="56" customHeight="1">
      <x:c r="A24" s="8" t="str">
        <x:v>R21,R23</x:v>
      </x:c>
      <x:c r="B24" s="8" t="str">
        <x:v>10k 0.1%</x:v>
      </x:c>
      <x:c r="C24" s="8" t="str">
        <x:v>Yageo</x:v>
      </x:c>
      <x:c r="D24" s="8" t="str">
        <x:v>RT0402BRD0710KL</x:v>
      </x:c>
      <x:c r="E24" s="8" t="str">
        <x:v>C190095</x:v>
      </x:c>
      <x:c r="F24" s="8" t="str">
        <x:v>R:0402</x:v>
      </x:c>
      <x:c r="G24" s="9" t="n">
        <x:v>2</x:v>
      </x:c>
      <x:c r="H24" s="9" t="n">
        <x:f>G24*'备料说明'!$B$2</x:f>
        <x:v>4</x:v>
      </x:c>
      <x:c r="I24" s="9" t="n">
        <x:v>141700</x:v>
      </x:c>
      <x:c r="J24" s="8" t="str">
        <x:v>商城有库存</x:v>
      </x:c>
      <x:c r="K24" s="8" t="str">
        <x:v>自有库存未核对；本次未下单。实际数量、损耗及贴片平台可用性待确认。</x:v>
      </x:c>
    </x:row>
    <x:row r="25" ht="56" customHeight="1">
      <x:c r="A25" s="3" t="str">
        <x:v>R22,R24</x:v>
      </x:c>
      <x:c r="B25" s="3" t="str">
        <x:v>20k 0.1%</x:v>
      </x:c>
      <x:c r="C25" s="3" t="str">
        <x:v>Yageo</x:v>
      </x:c>
      <x:c r="D25" s="3" t="str">
        <x:v>RT0402BRD0720KL</x:v>
      </x:c>
      <x:c r="E25" s="3" t="str">
        <x:v>C705630</x:v>
      </x:c>
      <x:c r="F25" s="3" t="str">
        <x:v>R:0402</x:v>
      </x:c>
      <x:c r="G25" s="7" t="n">
        <x:v>2</x:v>
      </x:c>
      <x:c r="H25" s="7" t="n">
        <x:f>G25*'备料说明'!$B$2</x:f>
        <x:v>4</x:v>
      </x:c>
      <x:c r="I25" s="7" t="n">
        <x:v>249150</x:v>
      </x:c>
      <x:c r="J25" s="3" t="str">
        <x:v>商城有库存</x:v>
      </x:c>
      <x:c r="K25" s="3" t="str">
        <x:v>自有库存未核对；本次未下单。实际数量、损耗及贴片平台可用性待确认。</x:v>
      </x:c>
    </x:row>
    <x:row r="26" ht="56" customHeight="1">
      <x:c r="A26" s="8" t="str">
        <x:v>R29</x:v>
      </x:c>
      <x:c r="B26" s="8" t="str">
        <x:v>110k</x:v>
      </x:c>
      <x:c r="C26" s="8" t="str">
        <x:v>UNI-ROYAL</x:v>
      </x:c>
      <x:c r="D26" s="8" t="str">
        <x:v>0402WGF1103TCE</x:v>
      </x:c>
      <x:c r="E26" s="8" t="str">
        <x:v>C25745</x:v>
      </x:c>
      <x:c r="F26" s="8" t="str">
        <x:v>R:0402</x:v>
      </x:c>
      <x:c r="G26" s="9" t="n">
        <x:v>1</x:v>
      </x:c>
      <x:c r="H26" s="9" t="n">
        <x:f>G26*'备料说明'!$B$2</x:f>
        <x:v>2</x:v>
      </x:c>
      <x:c r="I26" s="9" t="n">
        <x:v>166000</x:v>
      </x:c>
      <x:c r="J26" s="8" t="str">
        <x:v>商城有库存</x:v>
      </x:c>
      <x:c r="K26" s="8" t="str">
        <x:v>自有库存未核对；本次未下单。实际数量、损耗及贴片平台可用性待确认。</x:v>
      </x:c>
    </x:row>
    <x:row r="27" ht="56" customHeight="1">
      <x:c r="A27" s="3" t="str">
        <x:v>R5,R15,RF1,RF2,RF3,RF4,RF5,RF6,RF7,RF8,RF9,RF10,RF11,RF12,RF13,RF14,RF15,RF16</x:v>
      </x:c>
      <x:c r="B27" s="3" t="str">
        <x:v>100k</x:v>
      </x:c>
      <x:c r="C27" s="3" t="str">
        <x:v>UNI-ROYAL</x:v>
      </x:c>
      <x:c r="D27" s="3" t="str">
        <x:v>0402WGF1003TCE</x:v>
      </x:c>
      <x:c r="E27" s="3" t="str">
        <x:v>C25741</x:v>
      </x:c>
      <x:c r="F27" s="3" t="str">
        <x:v>R:0402</x:v>
      </x:c>
      <x:c r="G27" s="7" t="n">
        <x:v>18</x:v>
      </x:c>
      <x:c r="H27" s="7" t="n">
        <x:f>G27*'备料说明'!$B$2</x:f>
        <x:v>36</x:v>
      </x:c>
      <x:c r="I27" s="7" t="n">
        <x:v>6782400</x:v>
      </x:c>
      <x:c r="J27" s="3" t="str">
        <x:v>商城有库存</x:v>
      </x:c>
      <x:c r="K27" s="3" t="str">
        <x:v>自有库存未核对；本次未下单。实际数量、损耗及贴片平台可用性待确认。</x:v>
      </x:c>
    </x:row>
    <x:row r="28" ht="56" customHeight="1">
      <x:c r="A28" s="8" t="str">
        <x:v>R6,R7,R17</x:v>
      </x:c>
      <x:c r="B28" s="8" t="str">
        <x:v>4.7k</x:v>
      </x:c>
      <x:c r="C28" s="8" t="str">
        <x:v>UNI-ROYAL</x:v>
      </x:c>
      <x:c r="D28" s="8" t="str">
        <x:v>0402WGF4701TCE</x:v>
      </x:c>
      <x:c r="E28" s="8" t="str">
        <x:v>C25900</x:v>
      </x:c>
      <x:c r="F28" s="8" t="str">
        <x:v>R:0402</x:v>
      </x:c>
      <x:c r="G28" s="9" t="n">
        <x:v>3</x:v>
      </x:c>
      <x:c r="H28" s="9" t="n">
        <x:f>G28*'备料说明'!$B$2</x:f>
        <x:v>6</x:v>
      </x:c>
      <x:c r="I28" s="9" t="n">
        <x:v>12974700</x:v>
      </x:c>
      <x:c r="J28" s="8" t="str">
        <x:v>商城有库存</x:v>
      </x:c>
      <x:c r="K28" s="8" t="str">
        <x:v>自有库存未核对；本次未下单。实际数量、损耗及贴片平台可用性待确认。</x:v>
      </x:c>
    </x:row>
    <x:row r="29" ht="56" customHeight="1">
      <x:c r="A29" s="3" t="str">
        <x:v>R8,R9</x:v>
      </x:c>
      <x:c r="B29" s="3" t="str">
        <x:v>22</x:v>
      </x:c>
      <x:c r="C29" s="3" t="str">
        <x:v>UNI-ROYAL</x:v>
      </x:c>
      <x:c r="D29" s="3" t="str">
        <x:v>0402WGF220JTCE</x:v>
      </x:c>
      <x:c r="E29" s="3" t="str">
        <x:v>C25092</x:v>
      </x:c>
      <x:c r="F29" s="3" t="str">
        <x:v>R:0402</x:v>
      </x:c>
      <x:c r="G29" s="7" t="n">
        <x:v>2</x:v>
      </x:c>
      <x:c r="H29" s="7" t="n">
        <x:f>G29*'备料说明'!$B$2</x:f>
        <x:v>4</x:v>
      </x:c>
      <x:c r="I29" s="7" t="n">
        <x:v>3423300</x:v>
      </x:c>
      <x:c r="J29" s="3" t="str">
        <x:v>商城有库存</x:v>
      </x:c>
      <x:c r="K29" s="3" t="str">
        <x:v>自有库存未核对；本次未下单。实际数量、损耗及贴片平台可用性待确认。</x:v>
      </x:c>
    </x:row>
    <x:row r="30" ht="56" customHeight="1">
      <x:c r="A30" s="8" t="str">
        <x:v>U1</x:v>
      </x:c>
      <x:c r="B30" s="8" t="str">
        <x:v>TLC59283RGER</x:v>
      </x:c>
      <x:c r="C30" s="8" t="str">
        <x:v>Texas Instruments</x:v>
      </x:c>
      <x:c r="D30" s="8" t="str">
        <x:v>TLC59283RGER</x:v>
      </x:c>
      <x:c r="E30" s="8" t="str">
        <x:v>C485815</x:v>
      </x:c>
      <x:c r="F30" s="8" t="str">
        <x:v>IC:VQFN-24</x:v>
      </x:c>
      <x:c r="G30" s="9" t="n">
        <x:v>1</x:v>
      </x:c>
      <x:c r="H30" s="9" t="n">
        <x:f>G30*'备料说明'!$B$2</x:f>
        <x:v>2</x:v>
      </x:c>
      <x:c r="I30" s="9" t="n">
        <x:v>2682</x:v>
      </x:c>
      <x:c r="J30" s="8" t="str">
        <x:v>商城有库存</x:v>
      </x:c>
      <x:c r="K30" s="8" t="str">
        <x:v>自有库存未核对；本次未下单。实际数量、损耗及贴片平台可用性待确认。</x:v>
      </x:c>
    </x:row>
    <x:row r="31" ht="56" customHeight="1">
      <x:c r="A31" s="3" t="str">
        <x:v>U10</x:v>
      </x:c>
      <x:c r="B31" s="3" t="str">
        <x:v>LSM6DS3TR-C</x:v>
      </x:c>
      <x:c r="C31" s="3" t="str">
        <x:v>STMicroelectronics</x:v>
      </x:c>
      <x:c r="D31" s="3" t="str">
        <x:v>LSM6DS3TR-C</x:v>
      </x:c>
      <x:c r="E31" s="3" t="str">
        <x:v>C967633</x:v>
      </x:c>
      <x:c r="F31" s="3" t="str">
        <x:v>IC:LGA-14</x:v>
      </x:c>
      <x:c r="G31" s="7" t="n">
        <x:v>1</x:v>
      </x:c>
      <x:c r="H31" s="7" t="n">
        <x:f>G31*'备料说明'!$B$2</x:f>
        <x:v>2</x:v>
      </x:c>
      <x:c r="I31" s="7" t="n">
        <x:v>2338</x:v>
      </x:c>
      <x:c r="J31" s="3" t="str">
        <x:v>商城有库存</x:v>
      </x:c>
      <x:c r="K31" s="3" t="str">
        <x:v>自有库存未核对；本次未下单。实际数量、损耗及贴片平台可用性待确认。</x:v>
      </x:c>
    </x:row>
    <x:row r="32" ht="56" customHeight="1">
      <x:c r="A32" s="8" t="str">
        <x:v>U11</x:v>
      </x:c>
      <x:c r="B32" s="8" t="str">
        <x:v>PESD3V3L2BT,215</x:v>
      </x:c>
      <x:c r="C32" s="8" t="str">
        <x:v>Nexperia</x:v>
      </x:c>
      <x:c r="D32" s="8" t="str">
        <x:v>PESD3V3L2BT,215</x:v>
      </x:c>
      <x:c r="E32" s="8" t="str">
        <x:v>C55440</x:v>
      </x:c>
      <x:c r="F32" s="8" t="str">
        <x:v>IC:SOT-23</x:v>
      </x:c>
      <x:c r="G32" s="9" t="n">
        <x:v>1</x:v>
      </x:c>
      <x:c r="H32" s="9" t="n">
        <x:f>G32*'备料说明'!$B$2</x:f>
        <x:v>2</x:v>
      </x:c>
      <x:c r="I32" s="9" t="n">
        <x:v>106150</x:v>
      </x:c>
      <x:c r="J32" s="8" t="str">
        <x:v>商城有库存</x:v>
      </x:c>
      <x:c r="K32" s="8" t="str">
        <x:v>自有库存未核对；本次未下单。实际数量、损耗及贴片平台可用性待确认。</x:v>
      </x:c>
    </x:row>
    <x:row r="33" ht="56" customHeight="1">
      <x:c r="A33" s="3" t="str">
        <x:v>U12</x:v>
      </x:c>
      <x:c r="B33" s="3" t="str">
        <x:v>SN74LVC1G123DCTR</x:v>
      </x:c>
      <x:c r="C33" s="3" t="str">
        <x:v>Texas Instruments</x:v>
      </x:c>
      <x:c r="D33" s="3" t="str">
        <x:v>SN74LVC1G123DCTR</x:v>
      </x:c>
      <x:c r="E33" s="3" t="str">
        <x:v>C123302</x:v>
      </x:c>
      <x:c r="F33" s="3" t="str">
        <x:v>IC:SSOP-8</x:v>
      </x:c>
      <x:c r="G33" s="7" t="n">
        <x:v>1</x:v>
      </x:c>
      <x:c r="H33" s="7" t="n">
        <x:f>G33*'备料说明'!$B$2</x:f>
        <x:v>2</x:v>
      </x:c>
      <x:c r="I33" s="7" t="n">
        <x:v>7296</x:v>
      </x:c>
      <x:c r="J33" s="3" t="str">
        <x:v>商城有库存</x:v>
      </x:c>
      <x:c r="K33" s="3" t="str">
        <x:v>自有库存未核对；本次未下单。实际数量、损耗及贴片平台可用性待确认。</x:v>
      </x:c>
    </x:row>
    <x:row r="34" ht="56" customHeight="1">
      <x:c r="A34" s="8" t="str">
        <x:v>U13</x:v>
      </x:c>
      <x:c r="B34" s="8" t="str">
        <x:v>SN74LVC1G04DBVR</x:v>
      </x:c>
      <x:c r="C34" s="8" t="str">
        <x:v>Texas Instruments</x:v>
      </x:c>
      <x:c r="D34" s="8" t="str">
        <x:v>SN74LVC1G04DBVR</x:v>
      </x:c>
      <x:c r="E34" s="8" t="str">
        <x:v>C7827</x:v>
      </x:c>
      <x:c r="F34" s="8" t="str">
        <x:v>IC:SOT-23-5</x:v>
      </x:c>
      <x:c r="G34" s="9" t="n">
        <x:v>1</x:v>
      </x:c>
      <x:c r="H34" s="9" t="n">
        <x:f>G34*'备料说明'!$B$2</x:f>
        <x:v>2</x:v>
      </x:c>
      <x:c r="I34" s="9" t="n">
        <x:v>147380</x:v>
      </x:c>
      <x:c r="J34" s="8" t="str">
        <x:v>商城有库存</x:v>
      </x:c>
      <x:c r="K34" s="8" t="str">
        <x:v>自有库存未核对；本次未下单。实际数量、损耗及贴片平台可用性待确认。</x:v>
      </x:c>
    </x:row>
    <x:row r="35" ht="56" customHeight="1">
      <x:c r="A35" s="3" t="str">
        <x:v>U14</x:v>
      </x:c>
      <x:c r="B35" s="3" t="str">
        <x:v>TPS259470ARPWR</x:v>
      </x:c>
      <x:c r="C35" s="3" t="str">
        <x:v>Texas Instruments</x:v>
      </x:c>
      <x:c r="D35" s="3" t="str">
        <x:v>TPS259470ARPWR</x:v>
      </x:c>
      <x:c r="E35" s="3" t="str">
        <x:v>C3662799</x:v>
      </x:c>
      <x:c r="F35" s="3" t="str">
        <x:v>IC:VQFN-10-HR</x:v>
      </x:c>
      <x:c r="G35" s="7" t="n">
        <x:v>1</x:v>
      </x:c>
      <x:c r="H35" s="7" t="n">
        <x:f>G35*'备料说明'!$B$2</x:f>
        <x:v>2</x:v>
      </x:c>
      <x:c r="I35" s="7" t="n">
        <x:v>3685</x:v>
      </x:c>
      <x:c r="J35" s="3" t="str">
        <x:v>商城有库存</x:v>
      </x:c>
      <x:c r="K35" s="3" t="str">
        <x:v>按用户要求改为自动重试型AR；商城有库存，尚未采购。</x:v>
      </x:c>
    </x:row>
    <x:row r="36" ht="56" customHeight="1">
      <x:c r="A36" s="8" t="str">
        <x:v>U16,U17</x:v>
      </x:c>
      <x:c r="B36" s="8" t="str">
        <x:v>TLV9062IDGKR</x:v>
      </x:c>
      <x:c r="C36" s="8" t="str">
        <x:v>Texas Instruments</x:v>
      </x:c>
      <x:c r="D36" s="8" t="str">
        <x:v>TLV9062IDGKR</x:v>
      </x:c>
      <x:c r="E36" s="8" t="str">
        <x:v>C398356</x:v>
      </x:c>
      <x:c r="F36" s="8" t="str">
        <x:v>IC:VSSOP-8_3x3mm_P0.65mm</x:v>
      </x:c>
      <x:c r="G36" s="9" t="n">
        <x:v>2</x:v>
      </x:c>
      <x:c r="H36" s="9" t="n">
        <x:f>G36*'备料说明'!$B$2</x:f>
        <x:v>4</x:v>
      </x:c>
      <x:c r="I36" s="9" t="n">
        <x:v>34410</x:v>
      </x:c>
      <x:c r="J36" s="8" t="str">
        <x:v>商城有库存</x:v>
      </x:c>
      <x:c r="K36" s="8" t="str">
        <x:v>P3降本替代；配合100Ω/330pF，典型模型验证完成，噪声/精度待首板验收。</x:v>
      </x:c>
    </x:row>
    <x:row r="37" ht="56" customHeight="1">
      <x:c r="A37" s="3" t="str">
        <x:v>U18</x:v>
      </x:c>
      <x:c r="B37" s="3" t="str">
        <x:v>TPS2553DRVR</x:v>
      </x:c>
      <x:c r="C37" s="3" t="str">
        <x:v>Texas Instruments</x:v>
      </x:c>
      <x:c r="D37" s="3" t="str">
        <x:v>TPS2553DRVR</x:v>
      </x:c>
      <x:c r="E37" s="3" t="str">
        <x:v>C138719</x:v>
      </x:c>
      <x:c r="F37" s="3" t="str">
        <x:v>IC:TPS2553_DRV0006</x:v>
      </x:c>
      <x:c r="G37" s="7" t="n">
        <x:v>1</x:v>
      </x:c>
      <x:c r="H37" s="7" t="n">
        <x:f>G37*'备料说明'!$B$2</x:f>
        <x:v>2</x:v>
      </x:c>
      <x:c r="I37" s="7" t="n">
        <x:v>29622</x:v>
      </x:c>
      <x:c r="J37" s="3" t="str">
        <x:v>商城有库存</x:v>
      </x:c>
      <x:c r="K37" s="3" t="str">
        <x:v>新增输入限流器，WSON-6含EP，不能换为SOT封装。</x:v>
      </x:c>
    </x:row>
    <x:row r="38" ht="56" customHeight="1">
      <x:c r="A38" s="8" t="str">
        <x:v>U19</x:v>
      </x:c>
      <x:c r="B38" s="8" t="str">
        <x:v>TPS3702CX33DDCR</x:v>
      </x:c>
      <x:c r="C38" s="8" t="str">
        <x:v>Texas Instruments</x:v>
      </x:c>
      <x:c r="D38" s="8" t="str">
        <x:v>TPS3702CX33DDCR</x:v>
      </x:c>
      <x:c r="E38" s="8" t="str">
        <x:v>C2068031</x:v>
      </x:c>
      <x:c r="F38" s="8" t="str">
        <x:v>IC:TPS3702_DDC0006</x:v>
      </x:c>
      <x:c r="G38" s="9" t="n">
        <x:v>1</x:v>
      </x:c>
      <x:c r="H38" s="9" t="n">
        <x:f>G38*'备料说明'!$B$2</x:f>
        <x:v>2</x:v>
      </x:c>
      <x:c r="I38" s="9" t="n">
        <x:v>4894</x:v>
      </x:c>
      <x:c r="J38" s="8" t="str">
        <x:v>商城有库存</x:v>
      </x:c>
      <x:c r="K38" s="8" t="str">
        <x:v>过压监控改为TPS3702CX33，DDC TSOT-23-6无EP；库存见本行快照，量产需锁料。</x:v>
      </x:c>
    </x:row>
    <x:row r="39" ht="56" customHeight="1">
      <x:c r="A39" s="3" t="str">
        <x:v>U2,U3,U4,U5</x:v>
      </x:c>
      <x:c r="B39" s="3" t="str">
        <x:v>TLV9064IPWR</x:v>
      </x:c>
      <x:c r="C39" s="3" t="str">
        <x:v>Texas Instruments</x:v>
      </x:c>
      <x:c r="D39" s="3" t="str">
        <x:v>TLV9064IPWR</x:v>
      </x:c>
      <x:c r="E39" s="3" t="str">
        <x:v>C779410</x:v>
      </x:c>
      <x:c r="F39" s="3" t="str">
        <x:v>IC:TSSOP-14</x:v>
      </x:c>
      <x:c r="G39" s="7" t="n">
        <x:v>4</x:v>
      </x:c>
      <x:c r="H39" s="7" t="n">
        <x:f>G39*'备料说明'!$B$2</x:f>
        <x:v>8</x:v>
      </x:c>
      <x:c r="I39" s="7" t="n">
        <x:v>3475</x:v>
      </x:c>
      <x:c r="J39" s="3" t="str">
        <x:v>商城有库存</x:v>
      </x:c>
      <x:c r="K39" s="3" t="str">
        <x:v>自有库存未核对；本次未下单。实际数量、损耗及贴片平台可用性待确认。</x:v>
      </x:c>
    </x:row>
    <x:row r="40" ht="56" customHeight="1">
      <x:c r="A40" s="8" t="str">
        <x:v>U6</x:v>
      </x:c>
      <x:c r="B40" s="8" t="str">
        <x:v>TLV9061IDBVR</x:v>
      </x:c>
      <x:c r="C40" s="8" t="str">
        <x:v>Texas Instruments</x:v>
      </x:c>
      <x:c r="D40" s="8" t="str">
        <x:v>TLV9061IDBVR</x:v>
      </x:c>
      <x:c r="E40" s="8" t="str">
        <x:v>C398358</x:v>
      </x:c>
      <x:c r="F40" s="8" t="str">
        <x:v>IC:SOT-23-5</x:v>
      </x:c>
      <x:c r="G40" s="9" t="n">
        <x:v>1</x:v>
      </x:c>
      <x:c r="H40" s="9" t="n">
        <x:f>G40*'备料说明'!$B$2</x:f>
        <x:v>2</x:v>
      </x:c>
      <x:c r="I40" s="9" t="n">
        <x:v>301490</x:v>
      </x:c>
      <x:c r="J40" s="8" t="str">
        <x:v>商城有库存</x:v>
      </x:c>
      <x:c r="K40" s="8" t="str">
        <x:v>自有库存未核对；本次未下单。实际数量、损耗及贴片平台可用性待确认。</x:v>
      </x:c>
    </x:row>
    <x:row r="41" ht="56" customHeight="1">
      <x:c r="A41" s="3" t="str">
        <x:v>U7,U8</x:v>
      </x:c>
      <x:c r="B41" s="3" t="str">
        <x:v>TMUX1308PWR</x:v>
      </x:c>
      <x:c r="C41" s="3" t="str">
        <x:v>Texas Instruments</x:v>
      </x:c>
      <x:c r="D41" s="3" t="str">
        <x:v>TMUX1308PWR</x:v>
      </x:c>
      <x:c r="E41" s="3" t="str">
        <x:v>C970231</x:v>
      </x:c>
      <x:c r="F41" s="3" t="str">
        <x:v>IC:TSSOP-16</x:v>
      </x:c>
      <x:c r="G41" s="7" t="n">
        <x:v>2</x:v>
      </x:c>
      <x:c r="H41" s="7" t="n">
        <x:f>G41*'备料说明'!$B$2</x:f>
        <x:v>4</x:v>
      </x:c>
      <x:c r="I41" s="7" t="n">
        <x:v>11070</x:v>
      </x:c>
      <x:c r="J41" s="3" t="str">
        <x:v>商城有库存</x:v>
      </x:c>
      <x:c r="K41" s="3" t="str">
        <x:v>自有库存未核对；本次未下单。实际数量、损耗及贴片平台可用性待确认。</x:v>
      </x:c>
    </x:row>
    <x:row r="42" ht="56" customHeight="1">
      <x:c r="A42" s="8" t="str">
        <x:v>U9</x:v>
      </x:c>
      <x:c r="B42" s="8" t="str">
        <x:v>STM32C031C6T6</x:v>
      </x:c>
      <x:c r="C42" s="8" t="str">
        <x:v>STMicroelectronics</x:v>
      </x:c>
      <x:c r="D42" s="8" t="str">
        <x:v>STM32C031C6T6</x:v>
      </x:c>
      <x:c r="E42" s="8" t="str">
        <x:v>C5456218</x:v>
      </x:c>
      <x:c r="F42" s="8" t="str">
        <x:v>IC:LQFP-48</x:v>
      </x:c>
      <x:c r="G42" s="9" t="n">
        <x:v>1</x:v>
      </x:c>
      <x:c r="H42" s="9" t="n">
        <x:f>G42*'备料说明'!$B$2</x:f>
        <x:v>2</x:v>
      </x:c>
      <x:c r="I42" s="9" t="n">
        <x:v>1502</x:v>
      </x:c>
      <x:c r="J42" s="8" t="str">
        <x:v>商城有库存</x:v>
      </x:c>
      <x:c r="K42" s="8" t="str">
        <x:v>自有库存未核对；本次未下单。实际数量、损耗及贴片平台可用性待确认。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5f7bad504f764b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32" hidden="0" customWidth="1"/>
    <x:col min="4" max="4" width="50" hidden="0" customWidth="1"/>
    <x:col min="5" max="5" width="65" hidden="0" customWidth="1"/>
  </x:cols>
  <x:sheetData>
    <x:row r="1" ht="36" customHeight="1">
      <x:c r="A1" s="5" t="str">
        <x:v>位号</x:v>
      </x:c>
      <x:c r="B1" s="5" t="str">
        <x:v>变更类型</x:v>
      </x:c>
      <x:c r="C1" s="5" t="str">
        <x:v>原配置</x:v>
      </x:c>
      <x:c r="D1" s="5" t="str">
        <x:v>E6配置</x:v>
      </x:c>
      <x:c r="E1" s="5" t="str">
        <x:v>原因</x:v>
      </x:c>
    </x:row>
    <x:row r="2" ht="54" customHeight="1">
      <x:c r="A2" s="3" t="str">
        <x:v>U7,U8</x:v>
      </x:c>
      <x:c r="B2" s="3" t="str">
        <x:v>更换</x:v>
      </x:c>
      <x:c r="C2" s="3" t="str">
        <x:v>E4两颗8选1共用地址</x:v>
      </x:c>
      <x:c r="D2" s="3" t="str">
        <x:v>TMUX1308PWR / C970231</x:v>
      </x:c>
      <x:c r="E2" s="3" t="str">
        <x:v>独立选通奇数和偶数PD，覆盖16组物理邻接配对。</x:v>
      </x:c>
    </x:row>
    <x:row r="3" ht="54" customHeight="1">
      <x:c r="A3" s="3" t="str">
        <x:v>U15</x:v>
      </x:c>
      <x:c r="B3" s="3" t="str">
        <x:v>新增</x:v>
      </x:c>
      <x:c r="C3" s="3" t="str">
        <x:v>无</x:v>
      </x:c>
      <x:c r="D3" s="3" t="str">
        <x:v>AD7386BCPZ-RL7 / C650891</x:v>
      </x:c>
      <x:c r="E3" s="3" t="str">
        <x:v>双路同步16位ADC。</x:v>
      </x:c>
    </x:row>
    <x:row r="4" ht="54" customHeight="1">
      <x:c r="A4" s="3" t="str">
        <x:v>U16,U17</x:v>
      </x:c>
      <x:c r="B4" s="3" t="str">
        <x:v>新增</x:v>
      </x:c>
      <x:c r="C4" s="3" t="str">
        <x:v>无</x:v>
      </x:c>
      <x:c r="D4" s="3" t="str">
        <x:v>TLV9062IDGKR / C398356</x:v>
      </x:c>
      <x:c r="E4" s="3" t="str">
        <x:v>P3由OPA2320降本替换；配合100Ω/330pF，实测待完成。</x:v>
      </x:c>
    </x:row>
    <x:row r="5" ht="54" customHeight="1">
      <x:c r="A5" s="3" t="str">
        <x:v>R21,R23</x:v>
      </x:c>
      <x:c r="B5" s="3" t="str">
        <x:v>新增</x:v>
      </x:c>
      <x:c r="C5" s="3" t="str">
        <x:v>无</x:v>
      </x:c>
      <x:c r="D5" s="3" t="str">
        <x:v>10k 0.1% / C190095</x:v>
      </x:c>
      <x:c r="E5" s="3" t="str">
        <x:v>与20k组成2/3缩放。</x:v>
      </x:c>
    </x:row>
    <x:row r="6" ht="54" customHeight="1">
      <x:c r="A6" s="3" t="str">
        <x:v>R22,R24</x:v>
      </x:c>
      <x:c r="B6" s="3" t="str">
        <x:v>新增</x:v>
      </x:c>
      <x:c r="C6" s="3" t="str">
        <x:v>无</x:v>
      </x:c>
      <x:c r="D6" s="3" t="str">
        <x:v>20k 0.1% / C705630</x:v>
      </x:c>
      <x:c r="E6" s="3" t="str">
        <x:v>ADC输入量程匹配。</x:v>
      </x:c>
    </x:row>
    <x:row r="7" ht="54" customHeight="1">
      <x:c r="A7" s="3" t="str">
        <x:v>R11,R12</x:v>
      </x:c>
      <x:c r="B7" s="3" t="str">
        <x:v>改值和选型</x:v>
      </x:c>
      <x:c r="C7" s="3" t="str">
        <x:v>E4:100Ω；P2:33Ω</x:v>
      </x:c>
      <x:c r="D7" s="3" t="str">
        <x:v>100Ω RC0402FR-07100RL / C106232</x:v>
      </x:c>
      <x:c r="E7" s="3" t="str">
        <x:v>P3为改善TLV9062稳定性恢复100Ω；330pF保留。</x:v>
      </x:c>
    </x:row>
    <x:row r="8" ht="54" customHeight="1">
      <x:c r="A8" s="3" t="str">
        <x:v>C29,C30</x:v>
      </x:c>
      <x:c r="B8" s="3" t="str">
        <x:v>改值</x:v>
      </x:c>
      <x:c r="C8" s="3" t="str">
        <x:v>1nF / C53547</x:v>
      </x:c>
      <x:c r="D8" s="3" t="str">
        <x:v>330pF C0G / C76965</x:v>
      </x:c>
      <x:c r="E8" s="3" t="str">
        <x:v>ADC输入RC。</x:v>
      </x:c>
    </x:row>
    <x:row r="9" ht="54" customHeight="1">
      <x:c r="A9" s="3" t="str">
        <x:v>R14</x:v>
      </x:c>
      <x:c r="B9" s="3" t="str">
        <x:v>沿用用户修订</x:v>
      </x:c>
      <x:c r="C9" s="3" t="str">
        <x:v>原E4 C25076缺货</x:v>
      </x:c>
      <x:c r="D9" s="3" t="str">
        <x:v>100Ω RC0402FR-07100RL / C106232</x:v>
      </x:c>
      <x:c r="E9" s="3" t="str">
        <x:v>同步用户BOM既定替换。</x:v>
      </x:c>
    </x:row>
    <x:row r="10" ht="54" customHeight="1">
      <x:c r="A10" s="3" t="str">
        <x:v>R25</x:v>
      </x:c>
      <x:c r="B10" s="3" t="str">
        <x:v>新增</x:v>
      </x:c>
      <x:c r="C10" s="3" t="str">
        <x:v>无</x:v>
      </x:c>
      <x:c r="D10" s="3" t="str">
        <x:v>100Ω / C106232</x:v>
      </x:c>
      <x:c r="E10" s="3" t="str">
        <x:v>ADC SDO串联电阻。</x:v>
      </x:c>
    </x:row>
    <x:row r="11" ht="54" customHeight="1">
      <x:c r="A11" s="3" t="str">
        <x:v>R26,R27</x:v>
      </x:c>
      <x:c r="B11" s="3" t="str">
        <x:v>新增</x:v>
      </x:c>
      <x:c r="C11" s="3" t="str">
        <x:v>无</x:v>
      </x:c>
      <x:c r="D11" s="3" t="str">
        <x:v>10k / C25744</x:v>
      </x:c>
      <x:c r="E11" s="3" t="str">
        <x:v>ADC CS和MUX使能默认态。</x:v>
      </x:c>
    </x:row>
    <x:row r="12" ht="54" customHeight="1">
      <x:c r="A12" s="3" t="str">
        <x:v>C39–C47</x:v>
      </x:c>
      <x:c r="B12" s="3" t="str">
        <x:v>新增</x:v>
      </x:c>
      <x:c r="C12" s="3" t="str">
        <x:v>无</x:v>
      </x:c>
      <x:c r="D12" s="3" t="str">
        <x:v>1µF、100nF，沿用原表相同型号</x:v>
      </x:c>
      <x:c r="E12" s="3" t="str">
        <x:v>新增模拟及ADC电源去耦。</x:v>
      </x:c>
    </x:row>
    <x:row r="13" ht="54" customHeight="1">
      <x:c r="A13" s="3" t="str">
        <x:v>U14</x:v>
      </x:c>
      <x:c r="B13" s="3" t="str">
        <x:v>用户指定更换</x:v>
      </x:c>
      <x:c r="C13" s="3" t="str">
        <x:v>TPS259470LRPWR / C3662793</x:v>
      </x:c>
      <x:c r="D13" s="3" t="str">
        <x:v>TPS259470ARPWR / C3662799</x:v>
      </x:c>
      <x:c r="E13" s="3" t="str">
        <x:v>封装引脚兼容；热保护后自动重试。库存见本版来源页，尚未采购。</x:v>
      </x:c>
    </x:row>
    <x:row r="14" ht="54" customHeight="1">
      <x:c r="A14" s="3" t="str">
        <x:v>J1</x:v>
      </x:c>
      <x:c r="B14" s="3" t="str">
        <x:v>更换封装及型号</x:v>
      </x:c>
      <x:c r="C14" s="3" t="str">
        <x:v>TE 2492111-5</x:v>
      </x:c>
      <x:c r="D14" s="3" t="str">
        <x:v>GUOCONN 0.5K-AS-5PWB-RW / C51901197</x:v>
      </x:c>
      <x:c r="E14" s="3" t="str">
        <x:v>上接触0.3mm排线；新焊盘；原线序保持；新增板上U18持续限流；实际排线待核对。</x:v>
      </x:c>
    </x:row>
    <x:row r="15" ht="54" customHeight="1">
      <x:c r="A15" s="3" t="str">
        <x:v>C38</x:v>
      </x:c>
      <x:c r="B15" s="3" t="str">
        <x:v>改值</x:v>
      </x:c>
      <x:c r="C15" s="3" t="str">
        <x:v>1nF / C53547</x:v>
      </x:c>
      <x:c r="D15" s="3" t="str">
        <x:v>22nF X7R / C307335</x:v>
      </x:c>
      <x:c r="E15" s="3" t="str">
        <x:v>降低U14输出充电浪涌；主电容之前新增U18持续限流。</x:v>
      </x:c>
    </x:row>
    <x:row r="16" ht="54" customHeight="1">
      <x:c r="A16" s="3" t="str">
        <x:v>U18,U19</x:v>
      </x:c>
      <x:c r="B16" s="3" t="str">
        <x:v>新增</x:v>
      </x:c>
      <x:c r="C16" s="3" t="str">
        <x:v>无</x:v>
      </x:c>
      <x:c r="D16" s="3" t="str">
        <x:v>TPS2553DRVR / C138719；TPS3702CX33DDCR / C2068031</x:v>
      </x:c>
      <x:c r="E16" s="3" t="str">
        <x:v>低电流限流及独立过压监控。</x:v>
      </x:c>
    </x:row>
    <x:row r="17" ht="54" customHeight="1">
      <x:c r="A17" s="3" t="str">
        <x:v>R28,R29,C48,C49</x:v>
      </x:c>
      <x:c r="B17" s="3" t="str">
        <x:v>新增</x:v>
      </x:c>
      <x:c r="C17" s="3" t="str">
        <x:v>无</x:v>
      </x:c>
      <x:c r="D17" s="3" t="str">
        <x:v>10k、110k、100nF×2</x:v>
      </x:c>
      <x:c r="E17" s="3" t="str">
        <x:v>限流设置、故障信号上拉与去耦。</x:v>
      </x:c>
    </x:row>
    <x:row r="18" ht="54" customHeight="1">
      <x:c r="A18" s="3" t="str">
        <x:v>R18,R19</x:v>
      </x:c>
      <x:c r="B18" s="3" t="str">
        <x:v>调整分压</x:v>
      </x:c>
      <x:c r="C18" s="3" t="str">
        <x:v>19.1k / 10k 0.1%</x:v>
      </x:c>
      <x:c r="D18" s="3" t="str">
        <x:v>200Ω / C25087；10k / C25744</x:v>
      </x:c>
      <x:c r="E18" s="3" t="str">
        <x:v>TPS3702CX33 SET高，分压比例1.02；OV_N控制U14使能。</x:v>
      </x:c>
    </x:row>
    <x:row r="19" ht="54" customHeight="1">
      <x:c r="A19" s="3" t="str">
        <x:v>其余器件</x:v>
      </x:c>
      <x:c r="B19" s="3" t="str">
        <x:v>保留</x:v>
      </x:c>
      <x:c r="C19" s="3" t="str">
        <x:v>原BOM配置</x:v>
      </x:c>
      <x:c r="D19" s="3" t="str">
        <x:v>沿用型号和立创料号</x:v>
      </x:c>
      <x:c r="E19" s="3" t="str">
        <x:v>刷新库存，不改变光学器件位置和方向。</x:v>
      </x:c>
    </x:row>
    <x:row r="20" ht="54" customHeight="1">
      <x:c r="A20" s="3" t="str">
        <x:v>合计</x:v>
      </x:c>
      <x:c r="B20" s="3" t="str">
        <x:v>数量</x:v>
      </x:c>
      <x:c r="C20" s="3" t="str">
        <x:v>E4原表142件/板</x:v>
      </x:c>
      <x:c r="D20" s="3" t="str">
        <x:v>E6为167件/板</x:v>
      </x:c>
      <x:c r="E20" s="3" t="str">
        <x:v>增加25件；替换不增加数量。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5" hidden="0" customWidth="1"/>
    <x:col min="4" max="4" width="34" hidden="0" customWidth="1"/>
    <x:col min="5" max="5" width="66" hidden="0" customWidth="1"/>
    <x:col min="6" max="6" width="55" hidden="0" customWidth="1"/>
    <x:col min="7" max="7" width="80" hidden="0" customWidth="1"/>
  </x:cols>
  <x:sheetData>
    <x:row r="1" ht="36" customHeight="1">
      <x:c r="A1" s="5" t="str">
        <x:v>立创料号</x:v>
      </x:c>
      <x:c r="B1" s="5" t="str">
        <x:v>型号</x:v>
      </x:c>
      <x:c r="C1" s="5" t="str">
        <x:v>国内库存</x:v>
      </x:c>
      <x:c r="D1" s="5" t="str">
        <x:v>查询时间UTC</x:v>
      </x:c>
      <x:c r="E1" s="5" t="str">
        <x:v>来源URL</x:v>
      </x:c>
      <x:c r="F1" s="5" t="str">
        <x:v>国内商品URL</x:v>
      </x:c>
      <x:c r="G1" s="5" t="str">
        <x:v>数据手册URL</x:v>
      </x:c>
    </x:row>
    <x:row r="2" ht="44" customHeight="1">
      <x:c r="A2" s="3" t="str">
        <x:v>C650891</x:v>
      </x:c>
      <x:c r="B2" s="3" t="str">
        <x:v>AD7386BCPZ-RL7</x:v>
      </x:c>
      <x:c r="C2" s="7" t="n">
        <x:v>8</x:v>
      </x:c>
      <x:c r="D2" s="10" t="n">
        <x:v>46282.12948553241</x:v>
      </x:c>
      <x:c r="E2" s="3" t="str">
        <x:v>https://www.lcsc.com/product-detail/C650891.html</x:v>
      </x:c>
      <x:c r="F2" s="3" t="str">
        <x:v>https://item.szlcsc.com/680500.html</x:v>
      </x:c>
      <x:c r="G2" s="3" t="str">
        <x:v>https://datasheet.lcsc.com/datasheet/pdf/20706a8349bec06977e2a70248970126.pdf?productCode=C650891</x:v>
      </x:c>
    </x:row>
    <x:row r="3" ht="44" customHeight="1">
      <x:c r="A3" s="3" t="str">
        <x:v>C49210445</x:v>
      </x:c>
      <x:c r="B3" s="3" t="str">
        <x:v>TCC0402X7R105K160AT</x:v>
      </x:c>
      <x:c r="C3" s="7" t="n">
        <x:v>6850</x:v>
      </x:c>
      <x:c r="D3" s="10" t="n">
        <x:v>46282.129450243054</x:v>
      </x:c>
      <x:c r="E3" s="3" t="str">
        <x:v>https://www.lcsc.com/product-detail/C49210445.html</x:v>
      </x:c>
      <x:c r="F3" s="3" t="str">
        <x:v>https://item.szlcsc.com/51619650.html</x:v>
      </x:c>
      <x:c r="G3" s="3" t="str">
        <x:v>https://datasheet.lcsc.com/datasheet/pdf/71a9f8eccc4da164324d4a716182c5e3.pdf?productCode=C49210445</x:v>
      </x:c>
    </x:row>
    <x:row r="4" ht="44" customHeight="1">
      <x:c r="A4" s="3" t="str">
        <x:v>C1525</x:v>
      </x:c>
      <x:c r="B4" s="3" t="str">
        <x:v>CL05B104KO5NNNC</x:v>
      </x:c>
      <x:c r="C4" s="7" t="n">
        <x:v>9676500</x:v>
      </x:c>
      <x:c r="D4" s="10" t="n">
        <x:v>46282.129335949074</x:v>
      </x:c>
      <x:c r="E4" s="3" t="str">
        <x:v>https://www.lcsc.com/product-detail/C1525.html</x:v>
      </x:c>
      <x:c r="F4" s="3" t="str">
        <x:v>https://item.szlcsc.com/1877.html</x:v>
      </x:c>
      <x:c r="G4" s="3" t="str">
        <x:v>https://datasheet.lcsc.com/datasheet/pdf/02336ea48ea44ca18c72517dd3cb7b47.pdf?productCode=C1525</x:v>
      </x:c>
    </x:row>
    <x:row r="5" ht="44" customHeight="1">
      <x:c r="A5" s="3" t="str">
        <x:v>C19702</x:v>
      </x:c>
      <x:c r="B5" s="3" t="str">
        <x:v>CL10A106KP8NNNC</x:v>
      </x:c>
      <x:c r="C5" s="7" t="n">
        <x:v>6333220</x:v>
      </x:c>
      <x:c r="D5" s="10" t="n">
        <x:v>46282.129369560185</x:v>
      </x:c>
      <x:c r="E5" s="3" t="str">
        <x:v>https://www.lcsc.com/product-detail/C19702.html</x:v>
      </x:c>
      <x:c r="F5" s="3" t="str">
        <x:v>https://item.szlcsc.com/20411.html</x:v>
      </x:c>
      <x:c r="G5" s="3" t="str">
        <x:v>https://datasheet.lcsc.com/datasheet/pdf/02336ea48ea44ca18c72517dd3cb7b47.pdf?productCode=C19702</x:v>
      </x:c>
    </x:row>
    <x:row r="6" ht="44" customHeight="1">
      <x:c r="A6" s="3" t="str">
        <x:v>C596320</x:v>
      </x:c>
      <x:c r="B6" s="3" t="str">
        <x:v>CC1210KKX5R7BB476</x:v>
      </x:c>
      <x:c r="C6" s="7" t="n">
        <x:v>2634</x:v>
      </x:c>
      <x:c r="D6" s="10" t="n">
        <x:v>46282.12948378472</x:v>
      </x:c>
      <x:c r="E6" s="3" t="str">
        <x:v>https://www.lcsc.com/product-detail/C596320.html</x:v>
      </x:c>
      <x:c r="F6" s="3" t="str">
        <x:v>https://item.szlcsc.com/624304.html</x:v>
      </x:c>
      <x:c r="G6" s="3" t="str">
        <x:v>https://datasheet.lcsc.com/datasheet/pdf/5b3aae1e7925073bc9bd92db48d7aba2.pdf?productCode=C596320</x:v>
      </x:c>
    </x:row>
    <x:row r="7" ht="44" customHeight="1">
      <x:c r="A7" s="3" t="str">
        <x:v>C76965</x:v>
      </x:c>
      <x:c r="B7" s="3" t="str">
        <x:v>GRM1555C1H331JA01D</x:v>
      </x:c>
      <x:c r="C7" s="7" t="n">
        <x:v>69426</x:v>
      </x:c>
      <x:c r="D7" s="10" t="n">
        <x:v>46282.12949738426</x:v>
      </x:c>
      <x:c r="E7" s="3" t="str">
        <x:v>https://www.lcsc.com/product-detail/C76965.html</x:v>
      </x:c>
      <x:c r="F7" s="3" t="str">
        <x:v>https://item.szlcsc.com/78092.html</x:v>
      </x:c>
      <x:c r="G7" s="3" t="str">
        <x:v>https://datasheet.lcsc.com/datasheet/pdf/6b32c72259bf90f9d83ead63c5133b1b.pdf?productCode=C76965</x:v>
      </x:c>
    </x:row>
    <x:row r="8" ht="44" customHeight="1">
      <x:c r="A8" s="3" t="str">
        <x:v>C53547</x:v>
      </x:c>
      <x:c r="B8" s="3" t="str">
        <x:v>0402CG102J500NT</x:v>
      </x:c>
      <x:c r="C8" s="7" t="n">
        <x:v>263000</x:v>
      </x:c>
      <x:c r="D8" s="10" t="n">
        <x:v>46282.12946392361</x:v>
      </x:c>
      <x:c r="E8" s="3" t="str">
        <x:v>https://www.lcsc.com/product-detail/C53547.html</x:v>
      </x:c>
      <x:c r="F8" s="3" t="str">
        <x:v>https://item.szlcsc.com/54563.html</x:v>
      </x:c>
      <x:c r="G8" s="3" t="str">
        <x:v>https://datasheet.lcsc.com/datasheet/pdf/09fe2daf22580a99fa7fea93ccb20fb7.pdf?productCode=C53547</x:v>
      </x:c>
    </x:row>
    <x:row r="9" ht="44" customHeight="1">
      <x:c r="A9" s="3" t="str">
        <x:v>C307335</x:v>
      </x:c>
      <x:c r="B9" s="3" t="str">
        <x:v>CL05B223KB5VPNC</x:v>
      </x:c>
      <x:c r="C9" s="7" t="n">
        <x:v>22900</x:v>
      </x:c>
      <x:c r="D9" s="10" t="n">
        <x:v>46282.12943133102</x:v>
      </x:c>
      <x:c r="E9" s="3" t="str">
        <x:v>https://www.lcsc.com/product-detail/C307335.html</x:v>
      </x:c>
      <x:c r="F9" s="3" t="str">
        <x:v>https://item.szlcsc.com/291009.html</x:v>
      </x:c>
      <x:c r="G9" s="3" t="str">
        <x:v>https://datasheet.lcsc.com/datasheet/pdf/02336ea48ea44ca18c72517dd3cb7b47.pdf?productCode=C307335</x:v>
      </x:c>
    </x:row>
    <x:row r="10" ht="44" customHeight="1">
      <x:c r="A10" s="3" t="str">
        <x:v>C1555</x:v>
      </x:c>
      <x:c r="B10" s="3" t="str">
        <x:v>0402CG220J500NT</x:v>
      </x:c>
      <x:c r="C10" s="7" t="n">
        <x:v>1093800</x:v>
      </x:c>
      <x:c r="D10" s="10" t="n">
        <x:v>46282.12934763889</x:v>
      </x:c>
      <x:c r="E10" s="3" t="str">
        <x:v>https://www.lcsc.com/product-detail/C1555.html</x:v>
      </x:c>
      <x:c r="F10" s="3" t="str">
        <x:v>https://item.szlcsc.com/1907.html</x:v>
      </x:c>
      <x:c r="G10" s="3" t="str">
        <x:v>https://datasheet.lcsc.com/datasheet/pdf/09fe2daf22580a99fa7fea93ccb20fb7.pdf?productCode=C1555</x:v>
      </x:c>
    </x:row>
    <x:row r="11" ht="44" customHeight="1">
      <x:c r="A11" s="3" t="str">
        <x:v>C19269752</x:v>
      </x:c>
      <x:c r="B11" s="3" t="str">
        <x:v>IR11-21C/TR8</x:v>
      </x:c>
      <x:c r="C11" s="7" t="n">
        <x:v>12600</x:v>
      </x:c>
      <x:c r="D11" s="10" t="n">
        <x:v>46282.12935459491</x:v>
      </x:c>
      <x:c r="E11" s="3" t="str">
        <x:v>https://www.lcsc.com/product-detail/C19269752.html</x:v>
      </x:c>
      <x:c r="F11" s="3" t="str">
        <x:v>https://item.szlcsc.com/20533632.html</x:v>
      </x:c>
      <x:c r="G11" s="3" t="str">
        <x:v>https://en.everlight.com/wp-content/plugins/ItemRelationship/product_files/pdf/IR11-21C-TR8.pdf</x:v>
      </x:c>
    </x:row>
    <x:row r="12" ht="44" customHeight="1">
      <x:c r="A12" s="3" t="str">
        <x:v>C19224</x:v>
      </x:c>
      <x:c r="B12" s="3" t="str">
        <x:v>PESD5V0S1BA,115</x:v>
      </x:c>
      <x:c r="C12" s="7" t="n">
        <x:v>70735</x:v>
      </x:c>
      <x:c r="D12" s="10" t="n">
        <x:v>46282.129350208335</x:v>
      </x:c>
      <x:c r="E12" s="3" t="str">
        <x:v>https://www.lcsc.com/product-detail/C19224.html</x:v>
      </x:c>
      <x:c r="F12" s="3" t="str">
        <x:v>https://item.szlcsc.com/19931.html</x:v>
      </x:c>
      <x:c r="G12" s="3" t="str">
        <x:v>https://datasheet.lcsc.com/datasheet/pdf/dd1aa251f61f8aba7aba621165608b08.pdf?productCode=C19224</x:v>
      </x:c>
    </x:row>
    <x:row r="13" ht="44" customHeight="1">
      <x:c r="A13" s="3" t="str">
        <x:v>C2443469</x:v>
      </x:c>
      <x:c r="B13" s="3" t="str">
        <x:v>PESD3V3U1UB,115</x:v>
      </x:c>
      <x:c r="C13" s="7" t="n">
        <x:v>51590</x:v>
      </x:c>
      <x:c r="D13" s="10" t="n">
        <x:v>46282.12937440972</x:v>
      </x:c>
      <x:c r="E13" s="3" t="str">
        <x:v>https://www.lcsc.com/product-detail/C2443469.html</x:v>
      </x:c>
      <x:c r="F13" s="3" t="str">
        <x:v>https://item.szlcsc.com/2535320.html</x:v>
      </x:c>
      <x:c r="G13" s="3" t="str">
        <x:v>https://datasheet.lcsc.com/datasheet/pdf/877bdeab620d1fb15794f91cbf908d55.pdf?productCode=C2443469</x:v>
      </x:c>
    </x:row>
    <x:row r="14" ht="44" customHeight="1">
      <x:c r="A14" s="3" t="str">
        <x:v>C125094</x:v>
      </x:c>
      <x:c r="B14" s="3" t="str">
        <x:v>LTST-C190KGKT</x:v>
      </x:c>
      <x:c r="C14" s="7" t="n">
        <x:v>247250</x:v>
      </x:c>
      <x:c r="D14" s="10" t="n">
        <x:v>46282.12932875</x:v>
      </x:c>
      <x:c r="E14" s="3" t="str">
        <x:v>https://www.lcsc.com/product-detail/C125094.html</x:v>
      </x:c>
      <x:c r="F14" s="3" t="str">
        <x:v>https://item.szlcsc.com/136370.html</x:v>
      </x:c>
      <x:c r="G14" s="3" t="str">
        <x:v>https://datasheet.lcsc.com/datasheet/pdf/023ed7b8a405405e92089c3a13e8fa1b.pdf?productCode=C125094</x:v>
      </x:c>
    </x:row>
    <x:row r="15" ht="44" customHeight="1">
      <x:c r="A15" s="3" t="str">
        <x:v>C19330</x:v>
      </x:c>
      <x:c r="B15" s="3" t="str">
        <x:v>BLM18AG601SN1D</x:v>
      </x:c>
      <x:c r="C15" s="7" t="n">
        <x:v>705500</x:v>
      </x:c>
      <x:c r="D15" s="10" t="n">
        <x:v>46282.12936766203</x:v>
      </x:c>
      <x:c r="E15" s="3" t="str">
        <x:v>https://www.lcsc.com/product-detail/C19330.html</x:v>
      </x:c>
      <x:c r="F15" s="3" t="str">
        <x:v>https://item.szlcsc.com/20038.html</x:v>
      </x:c>
      <x:c r="G15" s="3" t="str">
        <x:v>https://datasheet.lcsc.com/datasheet/pdf/2d503a4b167da9bb5d0eb4a3fa711314.pdf?productCode=C19330</x:v>
      </x:c>
    </x:row>
    <x:row r="16" ht="44" customHeight="1">
      <x:c r="A16" s="3" t="str">
        <x:v>C51901197</x:v>
      </x:c>
      <x:c r="B16" s="3" t="str">
        <x:v>0.5K-AS-5PWB-RW</x:v>
      </x:c>
      <x:c r="C16" s="7" t="n">
        <x:v>2750</x:v>
      </x:c>
      <x:c r="D16" s="10" t="n">
        <x:v>46282.129459247684</x:v>
      </x:c>
      <x:c r="E16" s="3" t="str">
        <x:v>https://www.lcsc.com/product-detail/C51901197.html</x:v>
      </x:c>
      <x:c r="F16" s="3" t="str">
        <x:v>https://item.szlcsc.com/54589510.html</x:v>
      </x:c>
      <x:c r="G16" s="3" t="str">
        <x:v>https://datasheet.lcsc.com/datasheet/pdf/80d8e3a3024df7136bdfcf0b1a0ba04e.pdf?productCode=C51901197</x:v>
      </x:c>
    </x:row>
    <x:row r="17" ht="44" customHeight="1">
      <x:c r="A17" s="3" t="str">
        <x:v>C2921391</x:v>
      </x:c>
      <x:c r="B17" s="3" t="str">
        <x:v>PD15-21B/TR8</x:v>
      </x:c>
      <x:c r="C17" s="7" t="n">
        <x:v>2385</x:v>
      </x:c>
      <x:c r="D17" s="10" t="n">
        <x:v>46282.12942706019</x:v>
      </x:c>
      <x:c r="E17" s="3" t="str">
        <x:v>https://www.lcsc.com/product-detail/C2921391.html</x:v>
      </x:c>
      <x:c r="F17" s="3" t="str">
        <x:v>https://item.szlcsc.com/3229479.html</x:v>
      </x:c>
      <x:c r="G17" s="3" t="str">
        <x:v>https://en.everlight.com/wp-content/plugins/ItemRelationship/product_files/pdf/PD15-21B-TR8.pdf</x:v>
      </x:c>
    </x:row>
    <x:row r="18" ht="44" customHeight="1">
      <x:c r="A18" s="3" t="str">
        <x:v>C284464</x:v>
      </x:c>
      <x:c r="B18" s="3" t="str">
        <x:v>ARG02FTC2671</x:v>
      </x:c>
      <x:c r="C18" s="7" t="n">
        <x:v>400</x:v>
      </x:c>
      <x:c r="D18" s="10" t="n">
        <x:v>46282.12942481481</x:v>
      </x:c>
      <x:c r="E18" s="3" t="str">
        <x:v>https://www.lcsc.com/product-detail/C284464.html</x:v>
      </x:c>
      <x:c r="F18" s="3" t="str">
        <x:v>https://item.szlcsc.com/269896.html</x:v>
      </x:c>
      <x:c r="G18" s="3" t="str">
        <x:v>https://datasheet.lcsc.com/datasheet/pdf/ec3e308e963624b453a77b63220f4bbf.pdf?productCode=C284464</x:v>
      </x:c>
    </x:row>
    <x:row r="19" ht="44" customHeight="1">
      <x:c r="A19" s="3" t="str">
        <x:v>C106232</x:v>
      </x:c>
      <x:c r="B19" s="3" t="str">
        <x:v>RC0402FR-07100RL</x:v>
      </x:c>
      <x:c r="C19" s="7" t="n">
        <x:v>4453200</x:v>
      </x:c>
      <x:c r="D19" s="10" t="n">
        <x:v>46282.129316597224</x:v>
      </x:c>
      <x:c r="E19" s="3" t="str">
        <x:v>https://www.lcsc.com/product-detail/C106232.html</x:v>
      </x:c>
      <x:c r="F19" s="3" t="str">
        <x:v>https://item.szlcsc.com/107447.html</x:v>
      </x:c>
      <x:c r="G19" s="3" t="str">
        <x:v>https://datasheet.lcsc.com/datasheet/pdf/b426be3ce22c6de3e0c3a2248e49159e.pdf?productCode=C106232</x:v>
      </x:c>
    </x:row>
    <x:row r="20" ht="44" customHeight="1">
      <x:c r="A20" s="3" t="str">
        <x:v>C25118</x:v>
      </x:c>
      <x:c r="B20" s="3" t="str">
        <x:v>0402WGF470JTCE</x:v>
      </x:c>
      <x:c r="C20" s="7" t="n">
        <x:v>307500</x:v>
      </x:c>
      <x:c r="D20" s="10" t="n">
        <x:v>46282.1293934375</x:v>
      </x:c>
      <x:c r="E20" s="3" t="str">
        <x:v>https://www.lcsc.com/product-detail/C25118.html</x:v>
      </x:c>
      <x:c r="F20" s="3" t="str">
        <x:v>https://item.szlcsc.com/25861.html</x:v>
      </x:c>
      <x:c r="G20" s="3" t="str">
        <x:v>https://datasheet.lcsc.com/datasheet/pdf/0a975aaa49b7c97f38a963127be4a823.pdf?productCode=C25118</x:v>
      </x:c>
    </x:row>
    <x:row r="21" ht="44" customHeight="1">
      <x:c r="A21" s="3" t="str">
        <x:v>C25087</x:v>
      </x:c>
      <x:c r="B21" s="3" t="str">
        <x:v>0402WGF2000TCE</x:v>
      </x:c>
      <x:c r="C21" s="7" t="n">
        <x:v>2496700</x:v>
      </x:c>
      <x:c r="D21" s="10" t="n">
        <x:v>46282.129386886576</x:v>
      </x:c>
      <x:c r="E21" s="3" t="str">
        <x:v>https://www.lcsc.com/product-detail/C25087.html</x:v>
      </x:c>
      <x:c r="F21" s="3" t="str">
        <x:v>https://item.szlcsc.com/25830.html</x:v>
      </x:c>
      <x:c r="G21" s="3" t="str">
        <x:v>https://datasheet.lcsc.com/datasheet/pdf/0a975aaa49b7c97f38a963127be4a823.pdf?productCode=C25087</x:v>
      </x:c>
    </x:row>
    <x:row r="22" ht="44" customHeight="1">
      <x:c r="A22" s="3" t="str">
        <x:v>C25744</x:v>
      </x:c>
      <x:c r="B22" s="3" t="str">
        <x:v>0402WGF1002TCE</x:v>
      </x:c>
      <x:c r="C22" s="7" t="n">
        <x:v>14715000</x:v>
      </x:c>
      <x:c r="D22" s="10" t="n">
        <x:v>46282.12940628472</x:v>
      </x:c>
      <x:c r="E22" s="3" t="str">
        <x:v>https://www.lcsc.com/product-detail/C25744.html</x:v>
      </x:c>
      <x:c r="F22" s="3" t="str">
        <x:v>https://item.szlcsc.com/26487.html</x:v>
      </x:c>
      <x:c r="G22" s="3" t="str">
        <x:v>https://datasheet.lcsc.com/datasheet/pdf/0a975aaa49b7c97f38a963127be4a823.pdf?productCode=C25744</x:v>
      </x:c>
    </x:row>
    <x:row r="23" ht="44" customHeight="1">
      <x:c r="A23" s="3" t="str">
        <x:v>C25915</x:v>
      </x:c>
      <x:c r="B23" s="3" t="str">
        <x:v>0402WGF6201TCE</x:v>
      </x:c>
      <x:c r="C23" s="7" t="n">
        <x:v>136000</x:v>
      </x:c>
      <x:c r="D23" s="10" t="n">
        <x:v>46282.12942063657</x:v>
      </x:c>
      <x:c r="E23" s="3" t="str">
        <x:v>https://www.lcsc.com/product-detail/C25915.html</x:v>
      </x:c>
      <x:c r="F23" s="3" t="str">
        <x:v>https://item.szlcsc.com/26658.html</x:v>
      </x:c>
      <x:c r="G23" s="3" t="str">
        <x:v>https://datasheet.lcsc.com/datasheet/pdf/0a975aaa49b7c97f38a963127be4a823.pdf?productCode=C25915</x:v>
      </x:c>
    </x:row>
    <x:row r="24" ht="44" customHeight="1">
      <x:c r="A24" s="3" t="str">
        <x:v>C190095</x:v>
      </x:c>
      <x:c r="B24" s="3" t="str">
        <x:v>RT0402BRD0710KL</x:v>
      </x:c>
      <x:c r="C24" s="7" t="n">
        <x:v>141700</x:v>
      </x:c>
      <x:c r="D24" s="10" t="n">
        <x:v>46282.12935618056</x:v>
      </x:c>
      <x:c r="E24" s="3" t="str">
        <x:v>https://www.lcsc.com/product-detail/C190095.html</x:v>
      </x:c>
      <x:c r="F24" s="3" t="str">
        <x:v>https://item.szlcsc.com/208478.html</x:v>
      </x:c>
      <x:c r="G24" s="3" t="str">
        <x:v>https://datasheet.lcsc.com/datasheet/pdf/46d7760c582640714d605308a25a220a.pdf?productCode=C190095</x:v>
      </x:c>
    </x:row>
    <x:row r="25" ht="44" customHeight="1">
      <x:c r="A25" s="3" t="str">
        <x:v>C705630</x:v>
      </x:c>
      <x:c r="B25" s="3" t="str">
        <x:v>RT0402BRD0720KL</x:v>
      </x:c>
      <x:c r="C25" s="7" t="n">
        <x:v>249150</x:v>
      </x:c>
      <x:c r="D25" s="10" t="n">
        <x:v>46282.12948865741</x:v>
      </x:c>
      <x:c r="E25" s="3" t="str">
        <x:v>https://www.lcsc.com/product-detail/C705630.html</x:v>
      </x:c>
      <x:c r="F25" s="3" t="str">
        <x:v>https://item.szlcsc.com/742150.html</x:v>
      </x:c>
      <x:c r="G25" s="3" t="str">
        <x:v>https://datasheet.lcsc.com/datasheet/pdf/46d7760c582640714d605308a25a220a.pdf?productCode=C705630</x:v>
      </x:c>
    </x:row>
    <x:row r="26" ht="44" customHeight="1">
      <x:c r="A26" s="3" t="str">
        <x:v>C25745</x:v>
      </x:c>
      <x:c r="B26" s="3" t="str">
        <x:v>0402WGF1103TCE</x:v>
      </x:c>
      <x:c r="C26" s="7" t="n">
        <x:v>166000</x:v>
      </x:c>
      <x:c r="D26" s="10" t="n">
        <x:v>46282.12940827546</x:v>
      </x:c>
      <x:c r="E26" s="3" t="str">
        <x:v>https://www.lcsc.com/product-detail/C25745.html</x:v>
      </x:c>
      <x:c r="F26" s="3" t="str">
        <x:v>https://item.szlcsc.com/26488.html</x:v>
      </x:c>
      <x:c r="G26" s="3" t="str">
        <x:v>https://datasheet.lcsc.com/datasheet/pdf/0a975aaa49b7c97f38a963127be4a823.pdf?productCode=C25745</x:v>
      </x:c>
    </x:row>
    <x:row r="27" ht="44" customHeight="1">
      <x:c r="A27" s="3" t="str">
        <x:v>C25741</x:v>
      </x:c>
      <x:c r="B27" s="3" t="str">
        <x:v>0402WGF1003TCE</x:v>
      </x:c>
      <x:c r="C27" s="7" t="n">
        <x:v>6782400</x:v>
      </x:c>
      <x:c r="D27" s="10" t="n">
        <x:v>46282.12940145833</x:v>
      </x:c>
      <x:c r="E27" s="3" t="str">
        <x:v>https://www.lcsc.com/product-detail/C25741.html</x:v>
      </x:c>
      <x:c r="F27" s="3" t="str">
        <x:v>https://item.szlcsc.com/26484.html</x:v>
      </x:c>
      <x:c r="G27" s="3" t="str">
        <x:v>https://datasheet.lcsc.com/datasheet/pdf/0a975aaa49b7c97f38a963127be4a823.pdf?productCode=C25741</x:v>
      </x:c>
    </x:row>
    <x:row r="28" ht="44" customHeight="1">
      <x:c r="A28" s="3" t="str">
        <x:v>C25900</x:v>
      </x:c>
      <x:c r="B28" s="3" t="str">
        <x:v>0402WGF4701TCE</x:v>
      </x:c>
      <x:c r="C28" s="7" t="n">
        <x:v>12974700</x:v>
      </x:c>
      <x:c r="D28" s="10" t="n">
        <x:v>46282.12941214121</x:v>
      </x:c>
      <x:c r="E28" s="3" t="str">
        <x:v>https://www.lcsc.com/product-detail/C25900.html</x:v>
      </x:c>
      <x:c r="F28" s="3" t="str">
        <x:v>https://item.szlcsc.com/26643.html</x:v>
      </x:c>
      <x:c r="G28" s="3" t="str">
        <x:v>https://datasheet.lcsc.com/datasheet/pdf/0a975aaa49b7c97f38a963127be4a823.pdf?productCode=C25900</x:v>
      </x:c>
    </x:row>
    <x:row r="29" ht="44" customHeight="1">
      <x:c r="A29" s="3" t="str">
        <x:v>C25092</x:v>
      </x:c>
      <x:c r="B29" s="3" t="str">
        <x:v>0402WGF220JTCE</x:v>
      </x:c>
      <x:c r="C29" s="7" t="n">
        <x:v>3423300</x:v>
      </x:c>
      <x:c r="D29" s="10" t="n">
        <x:v>46282.12938888889</x:v>
      </x:c>
      <x:c r="E29" s="3" t="str">
        <x:v>https://www.lcsc.com/product-detail/C25092.html</x:v>
      </x:c>
      <x:c r="F29" s="3" t="str">
        <x:v>https://item.szlcsc.com/25835.html</x:v>
      </x:c>
      <x:c r="G29" s="3" t="str">
        <x:v>https://datasheet.lcsc.com/datasheet/pdf/0a975aaa49b7c97f38a963127be4a823.pdf?productCode=C25092</x:v>
      </x:c>
    </x:row>
    <x:row r="30" ht="44" customHeight="1">
      <x:c r="A30" s="3" t="str">
        <x:v>C485815</x:v>
      </x:c>
      <x:c r="B30" s="3" t="str">
        <x:v>TLC59283RGER</x:v>
      </x:c>
      <x:c r="C30" s="7" t="n">
        <x:v>2682</x:v>
      </x:c>
      <x:c r="D30" s="10" t="n">
        <x:v>46282.12944615741</x:v>
      </x:c>
      <x:c r="E30" s="3" t="str">
        <x:v>https://www.lcsc.com/product-detail/C485815.html</x:v>
      </x:c>
      <x:c r="F30" s="3" t="str">
        <x:v>https://item.szlcsc.com/494309.html</x:v>
      </x:c>
      <x:c r="G30" s="3" t="str">
        <x:v>https://datasheet.lcsc.com/datasheet/pdf/84ad3f0ef5c550cff0e7425268721b00.pdf?productCode=C485815</x:v>
      </x:c>
    </x:row>
    <x:row r="31" ht="44" customHeight="1">
      <x:c r="A31" s="3" t="str">
        <x:v>C967633</x:v>
      </x:c>
      <x:c r="B31" s="3" t="str">
        <x:v>LSM6DS3TR-C</x:v>
      </x:c>
      <x:c r="C31" s="7" t="n">
        <x:v>2338</x:v>
      </x:c>
      <x:c r="D31" s="10" t="n">
        <x:v>46282.1295078125</x:v>
      </x:c>
      <x:c r="E31" s="3" t="str">
        <x:v>https://www.lcsc.com/product-detail/C967633.html</x:v>
      </x:c>
      <x:c r="F31" s="3" t="str">
        <x:v>https://item.szlcsc.com/1054343.html</x:v>
      </x:c>
      <x:c r="G31" s="3" t="str">
        <x:v>https://datasheet.lcsc.com/datasheet/pdf/176463bae17f4a667a4792d02c6297f0.pdf?productCode=C967633</x:v>
      </x:c>
    </x:row>
    <x:row r="32" ht="44" customHeight="1">
      <x:c r="A32" s="3" t="str">
        <x:v>C55440</x:v>
      </x:c>
      <x:c r="B32" s="3" t="str">
        <x:v>PESD3V3L2BT,215</x:v>
      </x:c>
      <x:c r="C32" s="7" t="n">
        <x:v>106150</x:v>
      </x:c>
      <x:c r="D32" s="10" t="n">
        <x:v>46282.12947826389</x:v>
      </x:c>
      <x:c r="E32" s="3" t="str">
        <x:v>https://www.lcsc.com/product-detail/C55440.html</x:v>
      </x:c>
      <x:c r="F32" s="3" t="str">
        <x:v>https://item.szlcsc.com/56467.html</x:v>
      </x:c>
      <x:c r="G32" s="3" t="str">
        <x:v>https://datasheet.lcsc.com/datasheet/pdf/cb5900b754ae2ec950e7d2b5a6de5936.pdf?productCode=C55440</x:v>
      </x:c>
    </x:row>
    <x:row r="33" ht="44" customHeight="1">
      <x:c r="A33" s="3" t="str">
        <x:v>C123302</x:v>
      </x:c>
      <x:c r="B33" s="3" t="str">
        <x:v>SN74LVC1G123DCTR</x:v>
      </x:c>
      <x:c r="C33" s="7" t="n">
        <x:v>7296</x:v>
      </x:c>
      <x:c r="D33" s="10" t="n">
        <x:v>46282.12930984954</x:v>
      </x:c>
      <x:c r="E33" s="3" t="str">
        <x:v>https://www.lcsc.com/product-detail/C123302.html</x:v>
      </x:c>
      <x:c r="F33" s="3" t="str">
        <x:v>https://item.szlcsc.com/124572.html</x:v>
      </x:c>
      <x:c r="G33" s="3" t="str">
        <x:v>https://datasheet.lcsc.com/datasheet/pdf/88a979c474641330b6dc175f93646f37.pdf?productCode=C123302</x:v>
      </x:c>
    </x:row>
    <x:row r="34" ht="44" customHeight="1">
      <x:c r="A34" s="3" t="str">
        <x:v>C7827</x:v>
      </x:c>
      <x:c r="B34" s="3" t="str">
        <x:v>SN74LVC1G04DBVR</x:v>
      </x:c>
      <x:c r="C34" s="7" t="n">
        <x:v>147380</x:v>
      </x:c>
      <x:c r="D34" s="10" t="n">
        <x:v>46282.12950633102</x:v>
      </x:c>
      <x:c r="E34" s="3" t="str">
        <x:v>https://www.lcsc.com/product-detail/C7827.html</x:v>
      </x:c>
      <x:c r="F34" s="3" t="str">
        <x:v>https://item.szlcsc.com/8304.html</x:v>
      </x:c>
      <x:c r="G34" s="3" t="str">
        <x:v>https://datasheet.lcsc.com/datasheet/pdf/cbb5b11e6f66448a899553349c0f7b2e.pdf?productCode=C7827</x:v>
      </x:c>
    </x:row>
    <x:row r="35" ht="44" customHeight="1">
      <x:c r="A35" s="3" t="str">
        <x:v>C3662799</x:v>
      </x:c>
      <x:c r="B35" s="3" t="str">
        <x:v>TPS259470ARPWR</x:v>
      </x:c>
      <x:c r="C35" s="7" t="n">
        <x:v>3685</x:v>
      </x:c>
      <x:c r="D35" s="10" t="n">
        <x:v>46282.12943980324</x:v>
      </x:c>
      <x:c r="E35" s="3" t="str">
        <x:v>https://www.lcsc.com/product-detail/C3662799.html</x:v>
      </x:c>
      <x:c r="F35" s="3" t="str">
        <x:v>https://item.szlcsc.com/4230598.html</x:v>
      </x:c>
      <x:c r="G35" s="3" t="str">
        <x:v>https://datasheet.lcsc.com/datasheet/pdf/dc28fcce6a78e4691de43e12b02a38e4.pdf?productCode=C3662799</x:v>
      </x:c>
    </x:row>
    <x:row r="36" ht="44" customHeight="1">
      <x:c r="A36" s="3" t="str">
        <x:v>C398356</x:v>
      </x:c>
      <x:c r="B36" s="3" t="str">
        <x:v>TLV9062IDGKR</x:v>
      </x:c>
      <x:c r="C36" s="7" t="n">
        <x:v>34410</x:v>
      </x:c>
      <x:c r="D36" s="10" t="n">
        <x:v>46282.219403055555</x:v>
      </x:c>
      <x:c r="E36" s="3" t="str">
        <x:v>https://www.lcsc.com/product-detail/C398356.html</x:v>
      </x:c>
      <x:c r="F36" s="3" t="str">
        <x:v>https://item.szlcsc.com/380586.html</x:v>
      </x:c>
      <x:c r="G36" s="3" t="str">
        <x:v>https://datasheet.lcsc.com/datasheet/pdf/b3f500e21835dc38634fe987feaa838a.pdf?productCode=C398356</x:v>
      </x:c>
    </x:row>
    <x:row r="37" ht="44" customHeight="1">
      <x:c r="A37" s="3" t="str">
        <x:v>C138719</x:v>
      </x:c>
      <x:c r="B37" s="3" t="str">
        <x:v>TPS2553DRVR</x:v>
      </x:c>
      <x:c r="C37" s="7" t="n">
        <x:v>29622</x:v>
      </x:c>
      <x:c r="D37" s="10" t="n">
        <x:v>46282.12932853009</x:v>
      </x:c>
      <x:c r="E37" s="3" t="str">
        <x:v>https://www.lcsc.com/product-detail/C138719.html</x:v>
      </x:c>
      <x:c r="F37" s="3" t="str">
        <x:v>https://item.szlcsc.com/150038.html</x:v>
      </x:c>
      <x:c r="G37" s="3" t="str">
        <x:v>https://datasheet.lcsc.com/datasheet/pdf/629abfc3c5424acea615bb4804df0d5d.pdf?productCode=C138719</x:v>
      </x:c>
    </x:row>
    <x:row r="38" ht="44" customHeight="1">
      <x:c r="A38" s="3" t="str">
        <x:v>C2068031</x:v>
      </x:c>
      <x:c r="B38" s="3" t="str">
        <x:v>TPS3702CX33DDCR</x:v>
      </x:c>
      <x:c r="C38" s="7" t="n">
        <x:v>4894</x:v>
      </x:c>
      <x:c r="D38" s="10" t="n">
        <x:v>46282.129382037034</x:v>
      </x:c>
      <x:c r="E38" s="3" t="str">
        <x:v>https://www.lcsc.com/product-detail/C2068031.html</x:v>
      </x:c>
      <x:c r="F38" s="3" t="str">
        <x:v>https://item.szlcsc.com/2159605.html</x:v>
      </x:c>
      <x:c r="G38" s="3" t="str">
        <x:v>https://datasheet.lcsc.com/datasheet/pdf/6ae2c1478b21eeed10a1f9ac98aca521.pdf?productCode=C2068031</x:v>
      </x:c>
    </x:row>
    <x:row r="39" ht="44" customHeight="1">
      <x:c r="A39" s="3" t="str">
        <x:v>C779410</x:v>
      </x:c>
      <x:c r="B39" s="3" t="str">
        <x:v>TLV9064IPWR</x:v>
      </x:c>
      <x:c r="C39" s="7" t="n">
        <x:v>3475</x:v>
      </x:c>
      <x:c r="D39" s="10" t="n">
        <x:v>46282.12950361111</x:v>
      </x:c>
      <x:c r="E39" s="3" t="str">
        <x:v>https://www.lcsc.com/product-detail/C779410.html</x:v>
      </x:c>
      <x:c r="F39" s="3" t="str">
        <x:v>https://item.szlcsc.com/829067.html</x:v>
      </x:c>
      <x:c r="G39" s="3" t="str">
        <x:v>https://datasheet.lcsc.com/datasheet/pdf/ed27059b0e77786155ace2526e2932d6.pdf?productCode=C779410</x:v>
      </x:c>
    </x:row>
    <x:row r="40" ht="44" customHeight="1">
      <x:c r="A40" s="3" t="str">
        <x:v>C398358</x:v>
      </x:c>
      <x:c r="B40" s="3" t="str">
        <x:v>TLV9061IDBVR</x:v>
      </x:c>
      <x:c r="C40" s="7" t="n">
        <x:v>301490</x:v>
      </x:c>
      <x:c r="D40" s="10" t="n">
        <x:v>46282.12944474537</x:v>
      </x:c>
      <x:c r="E40" s="3" t="str">
        <x:v>https://www.lcsc.com/product-detail/C398358.html</x:v>
      </x:c>
      <x:c r="F40" s="3" t="str">
        <x:v>https://item.szlcsc.com/380588.html</x:v>
      </x:c>
      <x:c r="G40" s="3" t="str">
        <x:v>https://datasheet.lcsc.com/datasheet/pdf/b3f500e21835dc38634fe987feaa838a.pdf?productCode=C398358</x:v>
      </x:c>
    </x:row>
    <x:row r="41" ht="44" customHeight="1">
      <x:c r="A41" s="3" t="str">
        <x:v>C970231</x:v>
      </x:c>
      <x:c r="B41" s="3" t="str">
        <x:v>TMUX1308PWR</x:v>
      </x:c>
      <x:c r="C41" s="7" t="n">
        <x:v>11070</x:v>
      </x:c>
      <x:c r="D41" s="10" t="n">
        <x:v>46282.12951711805</x:v>
      </x:c>
      <x:c r="E41" s="3" t="str">
        <x:v>https://www.lcsc.com/product-detail/C970231.html</x:v>
      </x:c>
      <x:c r="F41" s="3" t="str">
        <x:v>https://item.szlcsc.com/1059115.html</x:v>
      </x:c>
      <x:c r="G41" s="3" t="str">
        <x:v>https://datasheet.lcsc.com/datasheet/pdf/b709e20c916142dcbf45e367fa5d3ac4.pdf?productCode=C970231</x:v>
      </x:c>
    </x:row>
    <x:row r="42" ht="44" customHeight="1">
      <x:c r="A42" s="3" t="str">
        <x:v>C5456218</x:v>
      </x:c>
      <x:c r="B42" s="3" t="str">
        <x:v>STM32C031C6T6</x:v>
      </x:c>
      <x:c r="C42" s="7" t="n">
        <x:v>1502</x:v>
      </x:c>
      <x:c r="D42" s="10" t="n">
        <x:v>46282.12946935185</x:v>
      </x:c>
      <x:c r="E42" s="3" t="str">
        <x:v>https://www.lcsc.com/product-detail/C5456218.html</x:v>
      </x:c>
      <x:c r="F42" s="3" t="str">
        <x:v>https://item.szlcsc.com/6367633.html</x:v>
      </x:c>
      <x:c r="G42" s="3" t="str">
        <x:v>https://datasheet.lcsc.com/datasheet/pdf/e7daed79e9738b984095104ac59f4972.pdf?productCode=C5456218</x:v>
      </x:c>
    </x:row>
  </x:sheetData>
  <x:pageMargins left="0.7" right="0.7" top="0.75" bottom="0.75" header="0.3" footer="0.3"/>
</x:worksheet>
</file>